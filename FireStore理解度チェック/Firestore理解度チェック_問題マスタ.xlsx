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d7893269e1745f0" /></Relationships>
</file>

<file path=xl/workbook.xml><?xml version="1.0" encoding="utf-8"?>
<x:workbook xmlns:x="http://schemas.openxmlformats.org/spreadsheetml/2006/main">
  <x:sheets>
    <x:sheet xmlns:r="http://schemas.openxmlformats.org/officeDocument/2006/relationships" name="問題マスタ" sheetId="1" r:id="Reef3db4efbd74fd7"/>
    <x:sheet xmlns:r="http://schemas.openxmlformats.org/officeDocument/2006/relationships" name="カテゴリ集計" sheetId="2" r:id="Rcd470c5dc3fc446f"/>
    <x:sheet xmlns:r="http://schemas.openxmlformats.org/officeDocument/2006/relationships" name="使い方" sheetId="3" r:id="R9ccfb03068b7419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b/>
      <x:sz val="11"/>
      <x:color rgb="FFFFFFFF"/>
      <x:name val="Carlito"/>
    </x:font>
    <x:font>
      <x:b/>
      <x:sz val="16"/>
      <x:color rgb="FFFFFFFF"/>
      <x:name val="Carlito"/>
    </x:font>
    <x:font>
      <x:b/>
      <x:sz val="11"/>
      <x:name val="Carlito"/>
    </x:font>
  </x:fonts>
  <x:fills count="5">
    <x:fill>
      <x:patternFill patternType="none"/>
    </x:fill>
    <x:fill>
      <x:patternFill patternType="gray125"/>
    </x:fill>
    <x:fill>
      <x:patternFill patternType="solid">
        <x:fgColor rgb="FF1F4E79"/>
      </x:patternFill>
    </x:fill>
    <x:fill>
      <x:patternFill patternType="solid">
        <x:fgColor rgb="FF2F75B5"/>
      </x:patternFill>
    </x:fill>
    <x:fill>
      <x:patternFill patternType="solid">
        <x:fgColor rgb="FFD9EAF7"/>
      </x:patternFill>
    </x:fill>
  </x:fills>
  <x:borders count="9">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s>
  <x:cellStyleXfs count="1">
    <x:xf numFmtId="0" fontId="0" fillId="0" borderId="0"/>
  </x:cellStyleXfs>
  <x:cellXfs count="4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1" xfId="0" applyNumberFormat="1" applyFont="1" applyFill="1" applyBorder="1" applyAlignment="1">
      <x:alignment horizontal="center"/>
    </x:xf>
    <x:xf numFmtId="0" fontId="1" fillId="3" borderId="2" xfId="0" applyNumberFormat="1" applyFont="1" applyFill="1" applyBorder="1" applyAlignment="1">
      <x:alignment horizontal="center"/>
    </x:xf>
    <x:xf numFmtId="0" fontId="1" fillId="3" borderId="3" xfId="0" applyNumberFormat="1" applyFont="1" applyFill="1" applyBorder="1" applyAlignment="1">
      <x:alignment horizontal="center"/>
    </x:xf>
    <x:xf numFmtId="0" fontId="0" fillId="0" borderId="4" xfId="0" applyNumberFormat="1" applyFont="1" applyFill="1" applyBorder="1"/>
    <x:xf numFmtId="0" fontId="0" fillId="0" borderId="0"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200" fontId="0" fillId="0" borderId="0" xfId="0" applyNumberFormat="1" applyFont="1" applyFill="1" applyBorder="1"/>
    <x:xf numFmtId="200" fontId="0" fillId="0" borderId="5" xfId="0" applyNumberFormat="1" applyFont="1" applyFill="1" applyBorder="1"/>
    <x:xf numFmtId="200" fontId="0" fillId="0" borderId="7" xfId="0" applyNumberFormat="1" applyFont="1" applyFill="1" applyBorder="1"/>
    <x:xf numFmtId="200" fontId="0" fillId="0" borderId="8"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2" fillId="2" borderId="1" xfId="0" applyNumberFormat="1" applyFont="1" applyFill="1" applyBorder="1" applyAlignment="1">
      <x:alignment horizontal="left"/>
    </x:xf>
    <x:xf numFmtId="0" fontId="0" fillId="0" borderId="2" xfId="0" applyNumberFormat="1" applyFont="1" applyFill="1" applyBorder="1"/>
    <x:xf numFmtId="0" fontId="0" fillId="0" borderId="3" xfId="0" applyNumberFormat="1" applyFont="1" applyFill="1" applyBorder="1"/>
    <x:xf numFmtId="0" fontId="3" fillId="4" borderId="4" xfId="0" applyNumberFormat="1" applyFont="1" applyFill="1" applyBorder="1" applyAlignment="1">
      <x:alignment vertical="top" wrapText="1"/>
    </x:xf>
    <x:xf numFmtId="0" fontId="3" fillId="4" borderId="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18cbc58162d4350" /><Relationship Type="http://schemas.openxmlformats.org/officeDocument/2006/relationships/theme" Target="/xl/theme/theme1.xml" Id="R2b3bb119da1e4732" /><Relationship Type="http://schemas.openxmlformats.org/officeDocument/2006/relationships/sharedStrings" Target="/xl/sharedStrings.xml" Id="R083d1d7c578a4bea" /><Relationship Type="http://schemas.openxmlformats.org/officeDocument/2006/relationships/worksheet" Target="/xl/worksheets/sheet1.xml" Id="Reef3db4efbd74fd7" /><Relationship Type="http://schemas.openxmlformats.org/officeDocument/2006/relationships/worksheet" Target="/xl/worksheets/sheet2.xml" Id="Rcd470c5dc3fc446f" /><Relationship Type="http://schemas.openxmlformats.org/officeDocument/2006/relationships/worksheet" Target="/xl/worksheets/sheet3.xml" Id="R9ccfb03068b74193" /></Relationships>
</file>

<file path=xl/tables/table1.xml><?xml version="1.0" encoding="utf-8"?>
<x:table xmlns:x="http://schemas.openxmlformats.org/spreadsheetml/2006/main" id="1" name="QuestionMaster" displayName="QuestionMaster" ref="A1:P241" headerRowCount="1" totalsRowCount="0" totalsRowShown="0">
  <x:tableColumns count="16">
    <x:tableColumn id="1" name="問題ID"/>
    <x:tableColumn id="2" name="カテゴリ"/>
    <x:tableColumn id="3" name="難易度"/>
    <x:tableColumn id="4" name="出題形式"/>
    <x:tableColumn id="5" name="問題文"/>
    <x:tableColumn id="6" name="コード例"/>
    <x:tableColumn id="7" name="選択肢1"/>
    <x:tableColumn id="8" name="選択肢2"/>
    <x:tableColumn id="9" name="選択肢3"/>
    <x:tableColumn id="10" name="選択肢4"/>
    <x:tableColumn id="11" name="正解番号"/>
    <x:tableColumn id="12" name="正解テキスト"/>
    <x:tableColumn id="13" name="ヒント"/>
    <x:tableColumn id="14" name="解説"/>
    <x:tableColumn id="15" name="おすすめモード"/>
    <x:tableColumn id="16" name="タグ"/>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6128aff7fd2430d" /></Relationships>
</file>

<file path=xl/worksheets/sheet1.xml><?xml version="1.0" encoding="utf-8"?>
<x:worksheet xmlns:x="http://schemas.openxmlformats.org/spreadsheetml/2006/main">
  <x:sheetViews>
    <x:sheetView showGridLines="0" workbookViewId="0"/>
  </x:sheetViews>
  <x:sheetFormatPr defaultRowHeight="15"/>
  <x:cols>
    <x:col min="1" max="1" width="13" hidden="0" customWidth="1"/>
    <x:col min="2" max="2" width="18" hidden="0" customWidth="1"/>
    <x:col min="3" max="3" width="10" hidden="0" customWidth="1"/>
    <x:col min="4" max="4" width="10" hidden="0" customWidth="1"/>
    <x:col min="5" max="5" width="48" hidden="0" customWidth="1"/>
    <x:col min="6" max="6" width="34" hidden="0" customWidth="1"/>
    <x:col min="7" max="7" width="28" hidden="0" customWidth="1"/>
    <x:col min="8" max="8" width="28" hidden="0" customWidth="1"/>
    <x:col min="9" max="9" width="28" hidden="0" customWidth="1"/>
    <x:col min="10" max="10" width="28" hidden="0" customWidth="1"/>
    <x:col min="11" max="11" width="10" hidden="0" customWidth="1"/>
    <x:col min="12" max="12" width="32" hidden="0" customWidth="1"/>
    <x:col min="13" max="13" width="46" hidden="0" customWidth="1"/>
    <x:col min="14" max="14" width="46" hidden="0" customWidth="1"/>
    <x:col min="15" max="15" width="14" hidden="0" customWidth="1"/>
    <x:col min="16" max="16" width="28" hidden="0" customWidth="1"/>
  </x:cols>
  <x:sheetData>
    <x:row r="1" ht="30" customHeight="1">
      <x:c r="A1" s="8" t="str">
        <x:v>問題ID</x:v>
      </x:c>
      <x:c r="B1" s="9" t="str">
        <x:v>カテゴリ</x:v>
      </x:c>
      <x:c r="C1" s="9" t="str">
        <x:v>難易度</x:v>
      </x:c>
      <x:c r="D1" s="9" t="str">
        <x:v>出題形式</x:v>
      </x:c>
      <x:c r="E1" s="9" t="str">
        <x:v>問題文</x:v>
      </x:c>
      <x:c r="F1" s="9" t="str">
        <x:v>コード例</x:v>
      </x:c>
      <x:c r="G1" s="9" t="str">
        <x:v>選択肢1</x:v>
      </x:c>
      <x:c r="H1" s="9" t="str">
        <x:v>選択肢2</x:v>
      </x:c>
      <x:c r="I1" s="9" t="str">
        <x:v>選択肢3</x:v>
      </x:c>
      <x:c r="J1" s="9" t="str">
        <x:v>選択肢4</x:v>
      </x:c>
      <x:c r="K1" s="9" t="str">
        <x:v>正解番号</x:v>
      </x:c>
      <x:c r="L1" s="9" t="str">
        <x:v>正解テキスト</x:v>
      </x:c>
      <x:c r="M1" s="9" t="str">
        <x:v>ヒント</x:v>
      </x:c>
      <x:c r="N1" s="9" t="str">
        <x:v>解説</x:v>
      </x:c>
      <x:c r="O1" s="9" t="str">
        <x:v>おすすめモード</x:v>
      </x:c>
      <x:c r="P1" s="10" t="str">
        <x:v>タグ</x:v>
      </x:c>
    </x:row>
    <x:row r="2" ht="74" customHeight="1">
      <x:c r="A2" s="11" t="str">
        <x:v>FSQ-001</x:v>
      </x:c>
      <x:c r="B2" s="7" t="str">
        <x:v>基本操作</x:v>
      </x:c>
      <x:c r="C2" s="7" t="str">
        <x:v>初級</x:v>
      </x:c>
      <x:c r="D2" s="7" t="str">
        <x:v>4択</x:v>
      </x:c>
      <x:c r="E2" s="7" t="str">
        <x:v>Firestore API「addDoc」の説明として正しいものは？</x:v>
      </x:c>
      <x:c r="F2" s="7" t="str"/>
      <x:c r="G2" s="7" t="str">
        <x:v>コレクションへ自動IDで新規ドキュメントを追加する</x:v>
      </x:c>
      <x:c r="H2" s="7" t="str">
        <x:v>CSSの見た目を変更する</x:v>
      </x:c>
      <x:c r="I2" s="7" t="str">
        <x:v>HTML要素を自動生成する</x:v>
      </x:c>
      <x:c r="J2" s="7" t="str">
        <x:v>Firebaseプロジェクトを削除する</x:v>
      </x:c>
      <x:c r="K2" s="16" t="n">
        <x:v>1</x:v>
      </x:c>
      <x:c r="L2" s="7" t="str">
        <x:v>コレクションへ自動IDで新規ドキュメントを追加する</x:v>
      </x:c>
      <x:c r="M2" s="7" t="str">
        <x:v>API名の動詞と、取得対象が1件か複数件かに注目します。</x:v>
      </x:c>
      <x:c r="N2" s="7" t="str">
        <x:v>addDocはFirestore操作の基本APIです。新規追加、取得、更新、削除、参照作成など、役割を分けて覚えると実装判断がしやすくなります。</x:v>
      </x:c>
      <x:c r="O2" s="7" t="str">
        <x:v>日替わり</x:v>
      </x:c>
      <x:c r="P2" s="12" t="str">
        <x:v>Firestore,API,addDoc</x:v>
      </x:c>
    </x:row>
    <x:row r="3" ht="74" customHeight="1">
      <x:c r="A3" s="11" t="str">
        <x:v>FSQ-002</x:v>
      </x:c>
      <x:c r="B3" s="7" t="str">
        <x:v>基本操作</x:v>
      </x:c>
      <x:c r="C3" s="7" t="str">
        <x:v>初級</x:v>
      </x:c>
      <x:c r="D3" s="7" t="str">
        <x:v>4択</x:v>
      </x:c>
      <x:c r="E3" s="7" t="str">
        <x:v>Firestore API「getDoc」の説明として正しいものは？</x:v>
      </x:c>
      <x:c r="F3" s="7" t="str"/>
      <x:c r="G3" s="7" t="str">
        <x:v>CSSの見た目を変更する</x:v>
      </x:c>
      <x:c r="H3" s="7" t="str">
        <x:v>特定ドキュメントを1件だけ取得する</x:v>
      </x:c>
      <x:c r="I3" s="7" t="str">
        <x:v>HTML要素を自動生成する</x:v>
      </x:c>
      <x:c r="J3" s="7" t="str">
        <x:v>Firebaseプロジェクトを削除する</x:v>
      </x:c>
      <x:c r="K3" s="16" t="n">
        <x:v>2</x:v>
      </x:c>
      <x:c r="L3" s="7" t="str">
        <x:v>特定ドキュメントを1件だけ取得する</x:v>
      </x:c>
      <x:c r="M3" s="7" t="str">
        <x:v>API名の動詞と、取得対象が1件か複数件かに注目します。</x:v>
      </x:c>
      <x:c r="N3" s="7" t="str">
        <x:v>getDocはFirestore操作の基本APIです。新規追加、取得、更新、削除、参照作成など、役割を分けて覚えると実装判断がしやすくなります。</x:v>
      </x:c>
      <x:c r="O3" s="7" t="str">
        <x:v>日替わり</x:v>
      </x:c>
      <x:c r="P3" s="12" t="str">
        <x:v>Firestore,API,getDoc</x:v>
      </x:c>
    </x:row>
    <x:row r="4" ht="74" customHeight="1">
      <x:c r="A4" s="11" t="str">
        <x:v>FSQ-003</x:v>
      </x:c>
      <x:c r="B4" s="7" t="str">
        <x:v>基本操作</x:v>
      </x:c>
      <x:c r="C4" s="7" t="str">
        <x:v>中級</x:v>
      </x:c>
      <x:c r="D4" s="7" t="str">
        <x:v>4択</x:v>
      </x:c>
      <x:c r="E4" s="7" t="str">
        <x:v>Firestore API「getDocs」の説明として正しいものは？</x:v>
      </x:c>
      <x:c r="F4" s="7" t="str"/>
      <x:c r="G4" s="7" t="str">
        <x:v>CSSの見た目を変更する</x:v>
      </x:c>
      <x:c r="H4" s="7" t="str">
        <x:v>HTML要素を自動生成する</x:v>
      </x:c>
      <x:c r="I4" s="7" t="str">
        <x:v>クエリやコレクションの結果を一覧取得する</x:v>
      </x:c>
      <x:c r="J4" s="7" t="str">
        <x:v>Firebaseプロジェクトを削除する</x:v>
      </x:c>
      <x:c r="K4" s="16" t="n">
        <x:v>3</x:v>
      </x:c>
      <x:c r="L4" s="7" t="str">
        <x:v>クエリやコレクションの結果を一覧取得する</x:v>
      </x:c>
      <x:c r="M4" s="7" t="str">
        <x:v>API名の動詞と、取得対象が1件か複数件かに注目します。</x:v>
      </x:c>
      <x:c r="N4" s="7" t="str">
        <x:v>getDocsはFirestore操作の基本APIです。新規追加、取得、更新、削除、参照作成など、役割を分けて覚えると実装判断がしやすくなります。</x:v>
      </x:c>
      <x:c r="O4" s="7" t="str">
        <x:v>日替わり</x:v>
      </x:c>
      <x:c r="P4" s="12" t="str">
        <x:v>Firestore,API,getDocs</x:v>
      </x:c>
    </x:row>
    <x:row r="5" ht="74" customHeight="1">
      <x:c r="A5" s="11" t="str">
        <x:v>FSQ-004</x:v>
      </x:c>
      <x:c r="B5" s="7" t="str">
        <x:v>基本操作</x:v>
      </x:c>
      <x:c r="C5" s="7" t="str">
        <x:v>中級</x:v>
      </x:c>
      <x:c r="D5" s="7" t="str">
        <x:v>4択</x:v>
      </x:c>
      <x:c r="E5" s="7" t="str">
        <x:v>Firestore API「setDoc」の説明として正しいものは？</x:v>
      </x:c>
      <x:c r="F5" s="7" t="str"/>
      <x:c r="G5" s="7" t="str">
        <x:v>CSSの見た目を変更する</x:v>
      </x:c>
      <x:c r="H5" s="7" t="str">
        <x:v>HTML要素を自動生成する</x:v>
      </x:c>
      <x:c r="I5" s="7" t="str">
        <x:v>Firebaseプロジェクトを削除する</x:v>
      </x:c>
      <x:c r="J5" s="7" t="str">
        <x:v>指定IDのドキュメントを作成または上書きする</x:v>
      </x:c>
      <x:c r="K5" s="16" t="n">
        <x:v>4</x:v>
      </x:c>
      <x:c r="L5" s="7" t="str">
        <x:v>指定IDのドキュメントを作成または上書きする</x:v>
      </x:c>
      <x:c r="M5" s="7" t="str">
        <x:v>API名の動詞と、取得対象が1件か複数件かに注目します。</x:v>
      </x:c>
      <x:c r="N5" s="7" t="str">
        <x:v>setDocはFirestore操作の基本APIです。新規追加、取得、更新、削除、参照作成など、役割を分けて覚えると実装判断がしやすくなります。</x:v>
      </x:c>
      <x:c r="O5" s="7" t="str">
        <x:v>日替わり</x:v>
      </x:c>
      <x:c r="P5" s="12" t="str">
        <x:v>Firestore,API,setDoc</x:v>
      </x:c>
    </x:row>
    <x:row r="6" ht="74" customHeight="1">
      <x:c r="A6" s="11" t="str">
        <x:v>FSQ-005</x:v>
      </x:c>
      <x:c r="B6" s="7" t="str">
        <x:v>基本操作</x:v>
      </x:c>
      <x:c r="C6" s="7" t="str">
        <x:v>応用</x:v>
      </x:c>
      <x:c r="D6" s="7" t="str">
        <x:v>4択</x:v>
      </x:c>
      <x:c r="E6" s="7" t="str">
        <x:v>Firestore API「updateDoc」の説明として正しいものは？</x:v>
      </x:c>
      <x:c r="F6" s="7" t="str"/>
      <x:c r="G6" s="7" t="str">
        <x:v>既存ドキュメントの一部フィールドを更新する</x:v>
      </x:c>
      <x:c r="H6" s="7" t="str">
        <x:v>CSSの見た目を変更する</x:v>
      </x:c>
      <x:c r="I6" s="7" t="str">
        <x:v>HTML要素を自動生成する</x:v>
      </x:c>
      <x:c r="J6" s="7" t="str">
        <x:v>Firebaseプロジェクトを削除する</x:v>
      </x:c>
      <x:c r="K6" s="16" t="n">
        <x:v>1</x:v>
      </x:c>
      <x:c r="L6" s="7" t="str">
        <x:v>既存ドキュメントの一部フィールドを更新する</x:v>
      </x:c>
      <x:c r="M6" s="7" t="str">
        <x:v>API名の動詞と、取得対象が1件か複数件かに注目します。</x:v>
      </x:c>
      <x:c r="N6" s="7" t="str">
        <x:v>updateDocはFirestore操作の基本APIです。新規追加、取得、更新、削除、参照作成など、役割を分けて覚えると実装判断がしやすくなります。</x:v>
      </x:c>
      <x:c r="O6" s="7" t="str">
        <x:v>日替わり</x:v>
      </x:c>
      <x:c r="P6" s="12" t="str">
        <x:v>Firestore,API,updateDoc</x:v>
      </x:c>
    </x:row>
    <x:row r="7" ht="74" customHeight="1">
      <x:c r="A7" s="11" t="str">
        <x:v>FSQ-006</x:v>
      </x:c>
      <x:c r="B7" s="7" t="str">
        <x:v>基本操作</x:v>
      </x:c>
      <x:c r="C7" s="7" t="str">
        <x:v>初級</x:v>
      </x:c>
      <x:c r="D7" s="7" t="str">
        <x:v>4択</x:v>
      </x:c>
      <x:c r="E7" s="7" t="str">
        <x:v>Firestore API「deleteDoc」の説明として正しいものは？</x:v>
      </x:c>
      <x:c r="F7" s="7" t="str"/>
      <x:c r="G7" s="7" t="str">
        <x:v>CSSの見た目を変更する</x:v>
      </x:c>
      <x:c r="H7" s="7" t="str">
        <x:v>指定したドキュメントを削除する</x:v>
      </x:c>
      <x:c r="I7" s="7" t="str">
        <x:v>HTML要素を自動生成する</x:v>
      </x:c>
      <x:c r="J7" s="7" t="str">
        <x:v>Firebaseプロジェクトを削除する</x:v>
      </x:c>
      <x:c r="K7" s="16" t="n">
        <x:v>2</x:v>
      </x:c>
      <x:c r="L7" s="7" t="str">
        <x:v>指定したドキュメントを削除する</x:v>
      </x:c>
      <x:c r="M7" s="7" t="str">
        <x:v>API名の動詞と、取得対象が1件か複数件かに注目します。</x:v>
      </x:c>
      <x:c r="N7" s="7" t="str">
        <x:v>deleteDocはFirestore操作の基本APIです。新規追加、取得、更新、削除、参照作成など、役割を分けて覚えると実装判断がしやすくなります。</x:v>
      </x:c>
      <x:c r="O7" s="7" t="str">
        <x:v>日替わり</x:v>
      </x:c>
      <x:c r="P7" s="12" t="str">
        <x:v>Firestore,API,deleteDoc</x:v>
      </x:c>
    </x:row>
    <x:row r="8" ht="74" customHeight="1">
      <x:c r="A8" s="11" t="str">
        <x:v>FSQ-007</x:v>
      </x:c>
      <x:c r="B8" s="7" t="str">
        <x:v>基本操作</x:v>
      </x:c>
      <x:c r="C8" s="7" t="str">
        <x:v>初級</x:v>
      </x:c>
      <x:c r="D8" s="7" t="str">
        <x:v>4択</x:v>
      </x:c>
      <x:c r="E8" s="7" t="str">
        <x:v>Firestore API「collection」の説明として正しいものは？</x:v>
      </x:c>
      <x:c r="F8" s="7" t="str"/>
      <x:c r="G8" s="7" t="str">
        <x:v>CSSの見た目を変更する</x:v>
      </x:c>
      <x:c r="H8" s="7" t="str">
        <x:v>HTML要素を自動生成する</x:v>
      </x:c>
      <x:c r="I8" s="7" t="str">
        <x:v>コレクション参照を作る</x:v>
      </x:c>
      <x:c r="J8" s="7" t="str">
        <x:v>Firebaseプロジェクトを削除する</x:v>
      </x:c>
      <x:c r="K8" s="16" t="n">
        <x:v>3</x:v>
      </x:c>
      <x:c r="L8" s="7" t="str">
        <x:v>コレクション参照を作る</x:v>
      </x:c>
      <x:c r="M8" s="7" t="str">
        <x:v>API名の動詞と、取得対象が1件か複数件かに注目します。</x:v>
      </x:c>
      <x:c r="N8" s="7" t="str">
        <x:v>collectionはFirestore操作の基本APIです。新規追加、取得、更新、削除、参照作成など、役割を分けて覚えると実装判断がしやすくなります。</x:v>
      </x:c>
      <x:c r="O8" s="7" t="str">
        <x:v>日替わり</x:v>
      </x:c>
      <x:c r="P8" s="12" t="str">
        <x:v>Firestore,API,collection</x:v>
      </x:c>
    </x:row>
    <x:row r="9" ht="74" customHeight="1">
      <x:c r="A9" s="11" t="str">
        <x:v>FSQ-008</x:v>
      </x:c>
      <x:c r="B9" s="7" t="str">
        <x:v>基本操作</x:v>
      </x:c>
      <x:c r="C9" s="7" t="str">
        <x:v>中級</x:v>
      </x:c>
      <x:c r="D9" s="7" t="str">
        <x:v>4択</x:v>
      </x:c>
      <x:c r="E9" s="7" t="str">
        <x:v>Firestore API「doc」の説明として正しいものは？</x:v>
      </x:c>
      <x:c r="F9" s="7" t="str"/>
      <x:c r="G9" s="7" t="str">
        <x:v>CSSの見た目を変更する</x:v>
      </x:c>
      <x:c r="H9" s="7" t="str">
        <x:v>HTML要素を自動生成する</x:v>
      </x:c>
      <x:c r="I9" s="7" t="str">
        <x:v>Firebaseプロジェクトを削除する</x:v>
      </x:c>
      <x:c r="J9" s="7" t="str">
        <x:v>ドキュメント参照を作る</x:v>
      </x:c>
      <x:c r="K9" s="16" t="n">
        <x:v>4</x:v>
      </x:c>
      <x:c r="L9" s="7" t="str">
        <x:v>ドキュメント参照を作る</x:v>
      </x:c>
      <x:c r="M9" s="7" t="str">
        <x:v>API名の動詞と、取得対象が1件か複数件かに注目します。</x:v>
      </x:c>
      <x:c r="N9" s="7" t="str">
        <x:v>docはFirestore操作の基本APIです。新規追加、取得、更新、削除、参照作成など、役割を分けて覚えると実装判断がしやすくなります。</x:v>
      </x:c>
      <x:c r="O9" s="7" t="str">
        <x:v>日替わり</x:v>
      </x:c>
      <x:c r="P9" s="12" t="str">
        <x:v>Firestore,API,doc</x:v>
      </x:c>
    </x:row>
    <x:row r="10" ht="74" customHeight="1">
      <x:c r="A10" s="11" t="str">
        <x:v>FSQ-009</x:v>
      </x:c>
      <x:c r="B10" s="7" t="str">
        <x:v>基本操作</x:v>
      </x:c>
      <x:c r="C10" s="7" t="str">
        <x:v>中級</x:v>
      </x:c>
      <x:c r="D10" s="7" t="str">
        <x:v>4択</x:v>
      </x:c>
      <x:c r="E10" s="7" t="str">
        <x:v>Firestore API「query」の説明として正しいものは？</x:v>
      </x:c>
      <x:c r="F10" s="7" t="str"/>
      <x:c r="G10" s="7" t="str">
        <x:v>コレクション参照に検索条件を組み合わせる</x:v>
      </x:c>
      <x:c r="H10" s="7" t="str">
        <x:v>CSSの見た目を変更する</x:v>
      </x:c>
      <x:c r="I10" s="7" t="str">
        <x:v>HTML要素を自動生成する</x:v>
      </x:c>
      <x:c r="J10" s="7" t="str">
        <x:v>Firebaseプロジェクトを削除する</x:v>
      </x:c>
      <x:c r="K10" s="16" t="n">
        <x:v>1</x:v>
      </x:c>
      <x:c r="L10" s="7" t="str">
        <x:v>コレクション参照に検索条件を組み合わせる</x:v>
      </x:c>
      <x:c r="M10" s="7" t="str">
        <x:v>API名の動詞と、取得対象が1件か複数件かに注目します。</x:v>
      </x:c>
      <x:c r="N10" s="7" t="str">
        <x:v>queryはFirestore操作の基本APIです。新規追加、取得、更新、削除、参照作成など、役割を分けて覚えると実装判断がしやすくなります。</x:v>
      </x:c>
      <x:c r="O10" s="7" t="str">
        <x:v>日替わり</x:v>
      </x:c>
      <x:c r="P10" s="12" t="str">
        <x:v>Firestore,API,query</x:v>
      </x:c>
    </x:row>
    <x:row r="11" ht="74" customHeight="1">
      <x:c r="A11" s="11" t="str">
        <x:v>FSQ-010</x:v>
      </x:c>
      <x:c r="B11" s="7" t="str">
        <x:v>基本操作</x:v>
      </x:c>
      <x:c r="C11" s="7" t="str">
        <x:v>応用</x:v>
      </x:c>
      <x:c r="D11" s="7" t="str">
        <x:v>4択</x:v>
      </x:c>
      <x:c r="E11" s="7" t="str">
        <x:v>Firestore API「where」の説明として正しいものは？</x:v>
      </x:c>
      <x:c r="F11" s="7" t="str"/>
      <x:c r="G11" s="7" t="str">
        <x:v>CSSの見た目を変更する</x:v>
      </x:c>
      <x:c r="H11" s="7" t="str">
        <x:v>フィールド条件で絞り込む</x:v>
      </x:c>
      <x:c r="I11" s="7" t="str">
        <x:v>HTML要素を自動生成する</x:v>
      </x:c>
      <x:c r="J11" s="7" t="str">
        <x:v>Firebaseプロジェクトを削除する</x:v>
      </x:c>
      <x:c r="K11" s="16" t="n">
        <x:v>2</x:v>
      </x:c>
      <x:c r="L11" s="7" t="str">
        <x:v>フィールド条件で絞り込む</x:v>
      </x:c>
      <x:c r="M11" s="7" t="str">
        <x:v>API名の動詞と、取得対象が1件か複数件かに注目します。</x:v>
      </x:c>
      <x:c r="N11" s="7" t="str">
        <x:v>whereはFirestore操作の基本APIです。新規追加、取得、更新、削除、参照作成など、役割を分けて覚えると実装判断がしやすくなります。</x:v>
      </x:c>
      <x:c r="O11" s="7" t="str">
        <x:v>日替わり</x:v>
      </x:c>
      <x:c r="P11" s="12" t="str">
        <x:v>Firestore,API,where</x:v>
      </x:c>
    </x:row>
    <x:row r="12" ht="74" customHeight="1">
      <x:c r="A12" s="11" t="str">
        <x:v>FSQ-011</x:v>
      </x:c>
      <x:c r="B12" s="7" t="str">
        <x:v>参照</x:v>
      </x:c>
      <x:c r="C12" s="7" t="str">
        <x:v>初級</x:v>
      </x:c>
      <x:c r="D12" s="7" t="str">
        <x:v>4択</x:v>
      </x:c>
      <x:c r="E12" s="7" t="str">
        <x:v>ordersコレクション内の特定IDのドキュメントを更新したい。正しい参照の作り方は？</x:v>
      </x:c>
      <x:c r="F12" s="7" t="str">
        <x:v>const ref = doc(db, 'orders', docId);</x:v>
      </x:c>
      <x:c r="G12" s="7" t="str">
        <x:v>collection(db, 'orders', docId)</x:v>
      </x:c>
      <x:c r="H12" s="7" t="str">
        <x:v>query(db, 'orders', docId)</x:v>
      </x:c>
      <x:c r="I12" s="7" t="str">
        <x:v>doc(db, 'orders', docId)</x:v>
      </x:c>
      <x:c r="J12" s="7" t="str">
        <x:v>where('orders', '==', docId)</x:v>
      </x:c>
      <x:c r="K12" s="16" t="n">
        <x:v>3</x:v>
      </x:c>
      <x:c r="L12" s="7" t="str">
        <x:v>doc(db, 'orders', docId)</x:v>
      </x:c>
      <x:c r="M12" s="7" t="str">
        <x:v>1件のドキュメントを直接指すときはdocを使います。</x:v>
      </x:c>
      <x:c r="N12" s="7" t="str">
        <x:v>updateDocやdeleteDocにはDocumentReferenceを渡します。collectionはコレクション全体を指す参照です。</x:v>
      </x:c>
      <x:c r="O12" s="7" t="str">
        <x:v>全範囲</x:v>
      </x:c>
      <x:c r="P12" s="12" t="str">
        <x:v>Firestore,doc,orders</x:v>
      </x:c>
    </x:row>
    <x:row r="13" ht="74" customHeight="1">
      <x:c r="A13" s="11" t="str">
        <x:v>FSQ-012</x:v>
      </x:c>
      <x:c r="B13" s="7" t="str">
        <x:v>参照</x:v>
      </x:c>
      <x:c r="C13" s="7" t="str">
        <x:v>初級</x:v>
      </x:c>
      <x:c r="D13" s="7" t="str">
        <x:v>4択</x:v>
      </x:c>
      <x:c r="E13" s="7" t="str">
        <x:v>menusコレクション内の特定IDのドキュメントを更新したい。正しい参照の作り方は？</x:v>
      </x:c>
      <x:c r="F13" s="7" t="str">
        <x:v>const ref = doc(db, 'menus', docId);</x:v>
      </x:c>
      <x:c r="G13" s="7" t="str">
        <x:v>collection(db, 'menus', docId)</x:v>
      </x:c>
      <x:c r="H13" s="7" t="str">
        <x:v>query(db, 'menus', docId)</x:v>
      </x:c>
      <x:c r="I13" s="7" t="str">
        <x:v>where('menus', '==', docId)</x:v>
      </x:c>
      <x:c r="J13" s="7" t="str">
        <x:v>doc(db, 'menus', docId)</x:v>
      </x:c>
      <x:c r="K13" s="16" t="n">
        <x:v>4</x:v>
      </x:c>
      <x:c r="L13" s="7" t="str">
        <x:v>doc(db, 'menus', docId)</x:v>
      </x:c>
      <x:c r="M13" s="7" t="str">
        <x:v>1件のドキュメントを直接指すときはdocを使います。</x:v>
      </x:c>
      <x:c r="N13" s="7" t="str">
        <x:v>updateDocやdeleteDocにはDocumentReferenceを渡します。collectionはコレクション全体を指す参照です。</x:v>
      </x:c>
      <x:c r="O13" s="7" t="str">
        <x:v>全範囲</x:v>
      </x:c>
      <x:c r="P13" s="12" t="str">
        <x:v>Firestore,doc,menus</x:v>
      </x:c>
    </x:row>
    <x:row r="14" ht="74" customHeight="1">
      <x:c r="A14" s="11" t="str">
        <x:v>FSQ-013</x:v>
      </x:c>
      <x:c r="B14" s="7" t="str">
        <x:v>参照</x:v>
      </x:c>
      <x:c r="C14" s="7" t="str">
        <x:v>中級</x:v>
      </x:c>
      <x:c r="D14" s="7" t="str">
        <x:v>4択</x:v>
      </x:c>
      <x:c r="E14" s="7" t="str">
        <x:v>usersコレクション内の特定IDのドキュメントを更新したい。正しい参照の作り方は？</x:v>
      </x:c>
      <x:c r="F14" s="7" t="str">
        <x:v>const ref = doc(db, 'users', docId);</x:v>
      </x:c>
      <x:c r="G14" s="7" t="str">
        <x:v>doc(db, 'users', docId)</x:v>
      </x:c>
      <x:c r="H14" s="7" t="str">
        <x:v>collection(db, 'users', docId)</x:v>
      </x:c>
      <x:c r="I14" s="7" t="str">
        <x:v>query(db, 'users', docId)</x:v>
      </x:c>
      <x:c r="J14" s="7" t="str">
        <x:v>where('users', '==', docId)</x:v>
      </x:c>
      <x:c r="K14" s="16" t="n">
        <x:v>1</x:v>
      </x:c>
      <x:c r="L14" s="7" t="str">
        <x:v>doc(db, 'users', docId)</x:v>
      </x:c>
      <x:c r="M14" s="7" t="str">
        <x:v>1件のドキュメントを直接指すときはdocを使います。</x:v>
      </x:c>
      <x:c r="N14" s="7" t="str">
        <x:v>updateDocやdeleteDocにはDocumentReferenceを渡します。collectionはコレクション全体を指す参照です。</x:v>
      </x:c>
      <x:c r="O14" s="7" t="str">
        <x:v>全範囲</x:v>
      </x:c>
      <x:c r="P14" s="12" t="str">
        <x:v>Firestore,doc,users</x:v>
      </x:c>
    </x:row>
    <x:row r="15" ht="74" customHeight="1">
      <x:c r="A15" s="11" t="str">
        <x:v>FSQ-014</x:v>
      </x:c>
      <x:c r="B15" s="7" t="str">
        <x:v>参照</x:v>
      </x:c>
      <x:c r="C15" s="7" t="str">
        <x:v>中級</x:v>
      </x:c>
      <x:c r="D15" s="7" t="str">
        <x:v>4択</x:v>
      </x:c>
      <x:c r="E15" s="7" t="str">
        <x:v>CookListコレクション内の特定IDのドキュメントを更新したい。正しい参照の作り方は？</x:v>
      </x:c>
      <x:c r="F15" s="7" t="str">
        <x:v>const ref = doc(db, 'CookList', docId);</x:v>
      </x:c>
      <x:c r="G15" s="7" t="str">
        <x:v>collection(db, 'CookList', docId)</x:v>
      </x:c>
      <x:c r="H15" s="7" t="str">
        <x:v>doc(db, 'CookList', docId)</x:v>
      </x:c>
      <x:c r="I15" s="7" t="str">
        <x:v>query(db, 'CookList', docId)</x:v>
      </x:c>
      <x:c r="J15" s="7" t="str">
        <x:v>where('CookList', '==', docId)</x:v>
      </x:c>
      <x:c r="K15" s="16" t="n">
        <x:v>2</x:v>
      </x:c>
      <x:c r="L15" s="7" t="str">
        <x:v>doc(db, 'CookList', docId)</x:v>
      </x:c>
      <x:c r="M15" s="7" t="str">
        <x:v>1件のドキュメントを直接指すときはdocを使います。</x:v>
      </x:c>
      <x:c r="N15" s="7" t="str">
        <x:v>updateDocやdeleteDocにはDocumentReferenceを渡します。collectionはコレクション全体を指す参照です。</x:v>
      </x:c>
      <x:c r="O15" s="7" t="str">
        <x:v>全範囲</x:v>
      </x:c>
      <x:c r="P15" s="12" t="str">
        <x:v>Firestore,doc,CookList</x:v>
      </x:c>
    </x:row>
    <x:row r="16" ht="74" customHeight="1">
      <x:c r="A16" s="11" t="str">
        <x:v>FSQ-015</x:v>
      </x:c>
      <x:c r="B16" s="7" t="str">
        <x:v>参照</x:v>
      </x:c>
      <x:c r="C16" s="7" t="str">
        <x:v>応用</x:v>
      </x:c>
      <x:c r="D16" s="7" t="str">
        <x:v>4択</x:v>
      </x:c>
      <x:c r="E16" s="7" t="str">
        <x:v>StaffListコレクション内の特定IDのドキュメントを更新したい。正しい参照の作り方は？</x:v>
      </x:c>
      <x:c r="F16" s="7" t="str">
        <x:v>const ref = doc(db, 'StaffList', docId);</x:v>
      </x:c>
      <x:c r="G16" s="7" t="str">
        <x:v>collection(db, 'StaffList', docId)</x:v>
      </x:c>
      <x:c r="H16" s="7" t="str">
        <x:v>query(db, 'StaffList', docId)</x:v>
      </x:c>
      <x:c r="I16" s="7" t="str">
        <x:v>doc(db, 'StaffList', docId)</x:v>
      </x:c>
      <x:c r="J16" s="7" t="str">
        <x:v>where('StaffList', '==', docId)</x:v>
      </x:c>
      <x:c r="K16" s="16" t="n">
        <x:v>3</x:v>
      </x:c>
      <x:c r="L16" s="7" t="str">
        <x:v>doc(db, 'StaffList', docId)</x:v>
      </x:c>
      <x:c r="M16" s="7" t="str">
        <x:v>1件のドキュメントを直接指すときはdocを使います。</x:v>
      </x:c>
      <x:c r="N16" s="7" t="str">
        <x:v>updateDocやdeleteDocにはDocumentReferenceを渡します。collectionはコレクション全体を指す参照です。</x:v>
      </x:c>
      <x:c r="O16" s="7" t="str">
        <x:v>全範囲</x:v>
      </x:c>
      <x:c r="P16" s="12" t="str">
        <x:v>Firestore,doc,StaffList</x:v>
      </x:c>
    </x:row>
    <x:row r="17" ht="74" customHeight="1">
      <x:c r="A17" s="11" t="str">
        <x:v>FSQ-016</x:v>
      </x:c>
      <x:c r="B17" s="7" t="str">
        <x:v>参照</x:v>
      </x:c>
      <x:c r="C17" s="7" t="str">
        <x:v>初級</x:v>
      </x:c>
      <x:c r="D17" s="7" t="str">
        <x:v>4択</x:v>
      </x:c>
      <x:c r="E17" s="7" t="str">
        <x:v>quizQuestionsコレクション内の特定IDのドキュメントを更新したい。正しい参照の作り方は？</x:v>
      </x:c>
      <x:c r="F17" s="7" t="str">
        <x:v>const ref = doc(db, 'quizQuestions', docId);</x:v>
      </x:c>
      <x:c r="G17" s="7" t="str">
        <x:v>collection(db, 'quizQuestions', docId)</x:v>
      </x:c>
      <x:c r="H17" s="7" t="str">
        <x:v>query(db, 'quizQuestions', docId)</x:v>
      </x:c>
      <x:c r="I17" s="7" t="str">
        <x:v>where('quizQuestions', '==', docId)</x:v>
      </x:c>
      <x:c r="J17" s="7" t="str">
        <x:v>doc(db, 'quizQuestions', docId)</x:v>
      </x:c>
      <x:c r="K17" s="16" t="n">
        <x:v>4</x:v>
      </x:c>
      <x:c r="L17" s="7" t="str">
        <x:v>doc(db, 'quizQuestions', docId)</x:v>
      </x:c>
      <x:c r="M17" s="7" t="str">
        <x:v>1件のドキュメントを直接指すときはdocを使います。</x:v>
      </x:c>
      <x:c r="N17" s="7" t="str">
        <x:v>updateDocやdeleteDocにはDocumentReferenceを渡します。collectionはコレクション全体を指す参照です。</x:v>
      </x:c>
      <x:c r="O17" s="7" t="str">
        <x:v>全範囲</x:v>
      </x:c>
      <x:c r="P17" s="12" t="str">
        <x:v>Firestore,doc,quizQuestions</x:v>
      </x:c>
    </x:row>
    <x:row r="18" ht="74" customHeight="1">
      <x:c r="A18" s="11" t="str">
        <x:v>FSQ-017</x:v>
      </x:c>
      <x:c r="B18" s="7" t="str">
        <x:v>参照</x:v>
      </x:c>
      <x:c r="C18" s="7" t="str">
        <x:v>初級</x:v>
      </x:c>
      <x:c r="D18" s="7" t="str">
        <x:v>4択</x:v>
      </x:c>
      <x:c r="E18" s="7" t="str">
        <x:v>learningLogsコレクション内の特定IDのドキュメントを更新したい。正しい参照の作り方は？</x:v>
      </x:c>
      <x:c r="F18" s="7" t="str">
        <x:v>const ref = doc(db, 'learningLogs', docId);</x:v>
      </x:c>
      <x:c r="G18" s="7" t="str">
        <x:v>doc(db, 'learningLogs', docId)</x:v>
      </x:c>
      <x:c r="H18" s="7" t="str">
        <x:v>collection(db, 'learningLogs', docId)</x:v>
      </x:c>
      <x:c r="I18" s="7" t="str">
        <x:v>query(db, 'learningLogs', docId)</x:v>
      </x:c>
      <x:c r="J18" s="7" t="str">
        <x:v>where('learningLogs', '==', docId)</x:v>
      </x:c>
      <x:c r="K18" s="16" t="n">
        <x:v>1</x:v>
      </x:c>
      <x:c r="L18" s="7" t="str">
        <x:v>doc(db, 'learningLogs', docId)</x:v>
      </x:c>
      <x:c r="M18" s="7" t="str">
        <x:v>1件のドキュメントを直接指すときはdocを使います。</x:v>
      </x:c>
      <x:c r="N18" s="7" t="str">
        <x:v>updateDocやdeleteDocにはDocumentReferenceを渡します。collectionはコレクション全体を指す参照です。</x:v>
      </x:c>
      <x:c r="O18" s="7" t="str">
        <x:v>全範囲</x:v>
      </x:c>
      <x:c r="P18" s="12" t="str">
        <x:v>Firestore,doc,learningLogs</x:v>
      </x:c>
    </x:row>
    <x:row r="19" ht="74" customHeight="1">
      <x:c r="A19" s="11" t="str">
        <x:v>FSQ-018</x:v>
      </x:c>
      <x:c r="B19" s="7" t="str">
        <x:v>参照</x:v>
      </x:c>
      <x:c r="C19" s="7" t="str">
        <x:v>中級</x:v>
      </x:c>
      <x:c r="D19" s="7" t="str">
        <x:v>4択</x:v>
      </x:c>
      <x:c r="E19" s="7" t="str">
        <x:v>settingsコレクション内の特定IDのドキュメントを更新したい。正しい参照の作り方は？</x:v>
      </x:c>
      <x:c r="F19" s="7" t="str">
        <x:v>const ref = doc(db, 'settings', docId);</x:v>
      </x:c>
      <x:c r="G19" s="7" t="str">
        <x:v>collection(db, 'settings', docId)</x:v>
      </x:c>
      <x:c r="H19" s="7" t="str">
        <x:v>doc(db, 'settings', docId)</x:v>
      </x:c>
      <x:c r="I19" s="7" t="str">
        <x:v>query(db, 'settings', docId)</x:v>
      </x:c>
      <x:c r="J19" s="7" t="str">
        <x:v>where('settings', '==', docId)</x:v>
      </x:c>
      <x:c r="K19" s="16" t="n">
        <x:v>2</x:v>
      </x:c>
      <x:c r="L19" s="7" t="str">
        <x:v>doc(db, 'settings', docId)</x:v>
      </x:c>
      <x:c r="M19" s="7" t="str">
        <x:v>1件のドキュメントを直接指すときはdocを使います。</x:v>
      </x:c>
      <x:c r="N19" s="7" t="str">
        <x:v>updateDocやdeleteDocにはDocumentReferenceを渡します。collectionはコレクション全体を指す参照です。</x:v>
      </x:c>
      <x:c r="O19" s="7" t="str">
        <x:v>全範囲</x:v>
      </x:c>
      <x:c r="P19" s="12" t="str">
        <x:v>Firestore,doc,settings</x:v>
      </x:c>
    </x:row>
    <x:row r="20" ht="74" customHeight="1">
      <x:c r="A20" s="11" t="str">
        <x:v>FSQ-019</x:v>
      </x:c>
      <x:c r="B20" s="7" t="str">
        <x:v>追加</x:v>
      </x:c>
      <x:c r="C20" s="7" t="str">
        <x:v>中級</x:v>
      </x:c>
      <x:c r="D20" s="7" t="str">
        <x:v>4択</x:v>
      </x:c>
      <x:c r="E20" s="7" t="str">
        <x:v>ordersコレクションへ自動IDで新しいドキュメントを追加したい。使うAPIは？</x:v>
      </x:c>
      <x:c r="F20" s="7" t="str">
        <x:v>await addDoc(collection(db, 'orders'), data);</x:v>
      </x:c>
      <x:c r="G20" s="7" t="str">
        <x:v>getDocs</x:v>
      </x:c>
      <x:c r="H20" s="7" t="str">
        <x:v>deleteDoc</x:v>
      </x:c>
      <x:c r="I20" s="7" t="str">
        <x:v>addDoc</x:v>
      </x:c>
      <x:c r="J20" s="7" t="str">
        <x:v>where</x:v>
      </x:c>
      <x:c r="K20" s="16" t="n">
        <x:v>3</x:v>
      </x:c>
      <x:c r="L20" s="7" t="str">
        <x:v>addDoc</x:v>
      </x:c>
      <x:c r="M20" s="7" t="str">
        <x:v>自動IDで追加する操作です。</x:v>
      </x:c>
      <x:c r="N20" s="7" t="str">
        <x:v>addDocは指定したコレクションに自動IDのドキュメントを追加します。注文登録や学習ログ保存のような新規データ作成に向いています。</x:v>
      </x:c>
      <x:c r="O20" s="7" t="str">
        <x:v>全範囲</x:v>
      </x:c>
      <x:c r="P20" s="12" t="str">
        <x:v>Firestore,addDoc,orders</x:v>
      </x:c>
    </x:row>
    <x:row r="21" ht="74" customHeight="1">
      <x:c r="A21" s="11" t="str">
        <x:v>FSQ-020</x:v>
      </x:c>
      <x:c r="B21" s="7" t="str">
        <x:v>追加</x:v>
      </x:c>
      <x:c r="C21" s="7" t="str">
        <x:v>応用</x:v>
      </x:c>
      <x:c r="D21" s="7" t="str">
        <x:v>4択</x:v>
      </x:c>
      <x:c r="E21" s="7" t="str">
        <x:v>menusコレクションへ自動IDで新しいドキュメントを追加したい。使うAPIは？</x:v>
      </x:c>
      <x:c r="F21" s="7" t="str">
        <x:v>await addDoc(collection(db, 'menus'), data);</x:v>
      </x:c>
      <x:c r="G21" s="7" t="str">
        <x:v>getDocs</x:v>
      </x:c>
      <x:c r="H21" s="7" t="str">
        <x:v>deleteDoc</x:v>
      </x:c>
      <x:c r="I21" s="7" t="str">
        <x:v>where</x:v>
      </x:c>
      <x:c r="J21" s="7" t="str">
        <x:v>addDoc</x:v>
      </x:c>
      <x:c r="K21" s="16" t="n">
        <x:v>4</x:v>
      </x:c>
      <x:c r="L21" s="7" t="str">
        <x:v>addDoc</x:v>
      </x:c>
      <x:c r="M21" s="7" t="str">
        <x:v>自動IDで追加する操作です。</x:v>
      </x:c>
      <x:c r="N21" s="7" t="str">
        <x:v>addDocは指定したコレクションに自動IDのドキュメントを追加します。注文登録や学習ログ保存のような新規データ作成に向いています。</x:v>
      </x:c>
      <x:c r="O21" s="7" t="str">
        <x:v>全範囲</x:v>
      </x:c>
      <x:c r="P21" s="12" t="str">
        <x:v>Firestore,addDoc,menus</x:v>
      </x:c>
    </x:row>
    <x:row r="22" ht="74" customHeight="1">
      <x:c r="A22" s="11" t="str">
        <x:v>FSQ-021</x:v>
      </x:c>
      <x:c r="B22" s="7" t="str">
        <x:v>追加</x:v>
      </x:c>
      <x:c r="C22" s="7" t="str">
        <x:v>初級</x:v>
      </x:c>
      <x:c r="D22" s="7" t="str">
        <x:v>4択</x:v>
      </x:c>
      <x:c r="E22" s="7" t="str">
        <x:v>usersコレクションへ自動IDで新しいドキュメントを追加したい。使うAPIは？</x:v>
      </x:c>
      <x:c r="F22" s="7" t="str">
        <x:v>await addDoc(collection(db, 'users'), data);</x:v>
      </x:c>
      <x:c r="G22" s="7" t="str">
        <x:v>addDoc</x:v>
      </x:c>
      <x:c r="H22" s="7" t="str">
        <x:v>getDocs</x:v>
      </x:c>
      <x:c r="I22" s="7" t="str">
        <x:v>deleteDoc</x:v>
      </x:c>
      <x:c r="J22" s="7" t="str">
        <x:v>where</x:v>
      </x:c>
      <x:c r="K22" s="16" t="n">
        <x:v>1</x:v>
      </x:c>
      <x:c r="L22" s="7" t="str">
        <x:v>addDoc</x:v>
      </x:c>
      <x:c r="M22" s="7" t="str">
        <x:v>自動IDで追加する操作です。</x:v>
      </x:c>
      <x:c r="N22" s="7" t="str">
        <x:v>addDocは指定したコレクションに自動IDのドキュメントを追加します。注文登録や学習ログ保存のような新規データ作成に向いています。</x:v>
      </x:c>
      <x:c r="O22" s="7" t="str">
        <x:v>全範囲</x:v>
      </x:c>
      <x:c r="P22" s="12" t="str">
        <x:v>Firestore,addDoc,users</x:v>
      </x:c>
    </x:row>
    <x:row r="23" ht="74" customHeight="1">
      <x:c r="A23" s="11" t="str">
        <x:v>FSQ-022</x:v>
      </x:c>
      <x:c r="B23" s="7" t="str">
        <x:v>追加</x:v>
      </x:c>
      <x:c r="C23" s="7" t="str">
        <x:v>初級</x:v>
      </x:c>
      <x:c r="D23" s="7" t="str">
        <x:v>4択</x:v>
      </x:c>
      <x:c r="E23" s="7" t="str">
        <x:v>CookListコレクションへ自動IDで新しいドキュメントを追加したい。使うAPIは？</x:v>
      </x:c>
      <x:c r="F23" s="7" t="str">
        <x:v>await addDoc(collection(db, 'CookList'), data);</x:v>
      </x:c>
      <x:c r="G23" s="7" t="str">
        <x:v>getDocs</x:v>
      </x:c>
      <x:c r="H23" s="7" t="str">
        <x:v>addDoc</x:v>
      </x:c>
      <x:c r="I23" s="7" t="str">
        <x:v>deleteDoc</x:v>
      </x:c>
      <x:c r="J23" s="7" t="str">
        <x:v>where</x:v>
      </x:c>
      <x:c r="K23" s="16" t="n">
        <x:v>2</x:v>
      </x:c>
      <x:c r="L23" s="7" t="str">
        <x:v>addDoc</x:v>
      </x:c>
      <x:c r="M23" s="7" t="str">
        <x:v>自動IDで追加する操作です。</x:v>
      </x:c>
      <x:c r="N23" s="7" t="str">
        <x:v>addDocは指定したコレクションに自動IDのドキュメントを追加します。注文登録や学習ログ保存のような新規データ作成に向いています。</x:v>
      </x:c>
      <x:c r="O23" s="7" t="str">
        <x:v>全範囲</x:v>
      </x:c>
      <x:c r="P23" s="12" t="str">
        <x:v>Firestore,addDoc,CookList</x:v>
      </x:c>
    </x:row>
    <x:row r="24" ht="74" customHeight="1">
      <x:c r="A24" s="11" t="str">
        <x:v>FSQ-023</x:v>
      </x:c>
      <x:c r="B24" s="7" t="str">
        <x:v>追加</x:v>
      </x:c>
      <x:c r="C24" s="7" t="str">
        <x:v>中級</x:v>
      </x:c>
      <x:c r="D24" s="7" t="str">
        <x:v>4択</x:v>
      </x:c>
      <x:c r="E24" s="7" t="str">
        <x:v>StaffListコレクションへ自動IDで新しいドキュメントを追加したい。使うAPIは？</x:v>
      </x:c>
      <x:c r="F24" s="7" t="str">
        <x:v>await addDoc(collection(db, 'StaffList'), data);</x:v>
      </x:c>
      <x:c r="G24" s="7" t="str">
        <x:v>getDocs</x:v>
      </x:c>
      <x:c r="H24" s="7" t="str">
        <x:v>deleteDoc</x:v>
      </x:c>
      <x:c r="I24" s="7" t="str">
        <x:v>addDoc</x:v>
      </x:c>
      <x:c r="J24" s="7" t="str">
        <x:v>where</x:v>
      </x:c>
      <x:c r="K24" s="16" t="n">
        <x:v>3</x:v>
      </x:c>
      <x:c r="L24" s="7" t="str">
        <x:v>addDoc</x:v>
      </x:c>
      <x:c r="M24" s="7" t="str">
        <x:v>自動IDで追加する操作です。</x:v>
      </x:c>
      <x:c r="N24" s="7" t="str">
        <x:v>addDocは指定したコレクションに自動IDのドキュメントを追加します。注文登録や学習ログ保存のような新規データ作成に向いています。</x:v>
      </x:c>
      <x:c r="O24" s="7" t="str">
        <x:v>全範囲</x:v>
      </x:c>
      <x:c r="P24" s="12" t="str">
        <x:v>Firestore,addDoc,StaffList</x:v>
      </x:c>
    </x:row>
    <x:row r="25" ht="74" customHeight="1">
      <x:c r="A25" s="11" t="str">
        <x:v>FSQ-024</x:v>
      </x:c>
      <x:c r="B25" s="7" t="str">
        <x:v>追加</x:v>
      </x:c>
      <x:c r="C25" s="7" t="str">
        <x:v>中級</x:v>
      </x:c>
      <x:c r="D25" s="7" t="str">
        <x:v>4択</x:v>
      </x:c>
      <x:c r="E25" s="7" t="str">
        <x:v>quizQuestionsコレクションへ自動IDで新しいドキュメントを追加したい。使うAPIは？</x:v>
      </x:c>
      <x:c r="F25" s="7" t="str">
        <x:v>await addDoc(collection(db, 'quizQuestions'), data);</x:v>
      </x:c>
      <x:c r="G25" s="7" t="str">
        <x:v>getDocs</x:v>
      </x:c>
      <x:c r="H25" s="7" t="str">
        <x:v>deleteDoc</x:v>
      </x:c>
      <x:c r="I25" s="7" t="str">
        <x:v>where</x:v>
      </x:c>
      <x:c r="J25" s="7" t="str">
        <x:v>addDoc</x:v>
      </x:c>
      <x:c r="K25" s="16" t="n">
        <x:v>4</x:v>
      </x:c>
      <x:c r="L25" s="7" t="str">
        <x:v>addDoc</x:v>
      </x:c>
      <x:c r="M25" s="7" t="str">
        <x:v>自動IDで追加する操作です。</x:v>
      </x:c>
      <x:c r="N25" s="7" t="str">
        <x:v>addDocは指定したコレクションに自動IDのドキュメントを追加します。注文登録や学習ログ保存のような新規データ作成に向いています。</x:v>
      </x:c>
      <x:c r="O25" s="7" t="str">
        <x:v>全範囲</x:v>
      </x:c>
      <x:c r="P25" s="12" t="str">
        <x:v>Firestore,addDoc,quizQuestions</x:v>
      </x:c>
    </x:row>
    <x:row r="26" ht="74" customHeight="1">
      <x:c r="A26" s="11" t="str">
        <x:v>FSQ-025</x:v>
      </x:c>
      <x:c r="B26" s="7" t="str">
        <x:v>追加</x:v>
      </x:c>
      <x:c r="C26" s="7" t="str">
        <x:v>応用</x:v>
      </x:c>
      <x:c r="D26" s="7" t="str">
        <x:v>4択</x:v>
      </x:c>
      <x:c r="E26" s="7" t="str">
        <x:v>learningLogsコレクションへ自動IDで新しいドキュメントを追加したい。使うAPIは？</x:v>
      </x:c>
      <x:c r="F26" s="7" t="str">
        <x:v>await addDoc(collection(db, 'learningLogs'), data);</x:v>
      </x:c>
      <x:c r="G26" s="7" t="str">
        <x:v>addDoc</x:v>
      </x:c>
      <x:c r="H26" s="7" t="str">
        <x:v>getDocs</x:v>
      </x:c>
      <x:c r="I26" s="7" t="str">
        <x:v>deleteDoc</x:v>
      </x:c>
      <x:c r="J26" s="7" t="str">
        <x:v>where</x:v>
      </x:c>
      <x:c r="K26" s="16" t="n">
        <x:v>1</x:v>
      </x:c>
      <x:c r="L26" s="7" t="str">
        <x:v>addDoc</x:v>
      </x:c>
      <x:c r="M26" s="7" t="str">
        <x:v>自動IDで追加する操作です。</x:v>
      </x:c>
      <x:c r="N26" s="7" t="str">
        <x:v>addDocは指定したコレクションに自動IDのドキュメントを追加します。注文登録や学習ログ保存のような新規データ作成に向いています。</x:v>
      </x:c>
      <x:c r="O26" s="7" t="str">
        <x:v>全範囲</x:v>
      </x:c>
      <x:c r="P26" s="12" t="str">
        <x:v>Firestore,addDoc,learningLogs</x:v>
      </x:c>
    </x:row>
    <x:row r="27" ht="74" customHeight="1">
      <x:c r="A27" s="11" t="str">
        <x:v>FSQ-026</x:v>
      </x:c>
      <x:c r="B27" s="7" t="str">
        <x:v>追加</x:v>
      </x:c>
      <x:c r="C27" s="7" t="str">
        <x:v>初級</x:v>
      </x:c>
      <x:c r="D27" s="7" t="str">
        <x:v>4択</x:v>
      </x:c>
      <x:c r="E27" s="7" t="str">
        <x:v>settingsコレクションへ自動IDで新しいドキュメントを追加したい。使うAPIは？</x:v>
      </x:c>
      <x:c r="F27" s="7" t="str">
        <x:v>await addDoc(collection(db, 'settings'), data);</x:v>
      </x:c>
      <x:c r="G27" s="7" t="str">
        <x:v>getDocs</x:v>
      </x:c>
      <x:c r="H27" s="7" t="str">
        <x:v>addDoc</x:v>
      </x:c>
      <x:c r="I27" s="7" t="str">
        <x:v>deleteDoc</x:v>
      </x:c>
      <x:c r="J27" s="7" t="str">
        <x:v>where</x:v>
      </x:c>
      <x:c r="K27" s="16" t="n">
        <x:v>2</x:v>
      </x:c>
      <x:c r="L27" s="7" t="str">
        <x:v>addDoc</x:v>
      </x:c>
      <x:c r="M27" s="7" t="str">
        <x:v>自動IDで追加する操作です。</x:v>
      </x:c>
      <x:c r="N27" s="7" t="str">
        <x:v>addDocは指定したコレクションに自動IDのドキュメントを追加します。注文登録や学習ログ保存のような新規データ作成に向いています。</x:v>
      </x:c>
      <x:c r="O27" s="7" t="str">
        <x:v>全範囲</x:v>
      </x:c>
      <x:c r="P27" s="12" t="str">
        <x:v>Firestore,addDoc,settings</x:v>
      </x:c>
    </x:row>
    <x:row r="28" ht="74" customHeight="1">
      <x:c r="A28" s="11" t="str">
        <x:v>FSQ-027</x:v>
      </x:c>
      <x:c r="B28" s="7" t="str">
        <x:v>更新</x:v>
      </x:c>
      <x:c r="C28" s="7" t="str">
        <x:v>初級</x:v>
      </x:c>
      <x:c r="D28" s="7" t="str">
        <x:v>4択</x:v>
      </x:c>
      <x:c r="E28" s="7" t="str">
        <x:v>既存ドキュメントの「status」フィールドだけを変更したい。最も適切なAPIは？</x:v>
      </x:c>
      <x:c r="F28" s="7" t="str">
        <x:v>await updateDoc(ref, { status: value });</x:v>
      </x:c>
      <x:c r="G28" s="7" t="str">
        <x:v>addDoc</x:v>
      </x:c>
      <x:c r="H28" s="7" t="str">
        <x:v>getDocs</x:v>
      </x:c>
      <x:c r="I28" s="7" t="str">
        <x:v>updateDoc</x:v>
      </x:c>
      <x:c r="J28" s="7" t="str">
        <x:v>collection</x:v>
      </x:c>
      <x:c r="K28" s="16" t="n">
        <x:v>3</x:v>
      </x:c>
      <x:c r="L28" s="7" t="str">
        <x:v>updateDoc</x:v>
      </x:c>
      <x:c r="M28" s="7" t="str">
        <x:v>一部フィールドだけを変更する操作です。</x:v>
      </x:c>
      <x:c r="N28" s="7" t="str">
        <x:v>updateDocは既存ドキュメントの指定フィールドだけを更新できます。ドキュメント全体を作り直す必要はありません。</x:v>
      </x:c>
      <x:c r="O28" s="7" t="str">
        <x:v>全範囲</x:v>
      </x:c>
      <x:c r="P28" s="12" t="str">
        <x:v>Firestore,updateDoc,status</x:v>
      </x:c>
    </x:row>
    <x:row r="29" ht="74" customHeight="1">
      <x:c r="A29" s="11" t="str">
        <x:v>FSQ-028</x:v>
      </x:c>
      <x:c r="B29" s="7" t="str">
        <x:v>更新</x:v>
      </x:c>
      <x:c r="C29" s="7" t="str">
        <x:v>中級</x:v>
      </x:c>
      <x:c r="D29" s="7" t="str">
        <x:v>4択</x:v>
      </x:c>
      <x:c r="E29" s="7" t="str">
        <x:v>既存ドキュメントの「table」フィールドだけを変更したい。最も適切なAPIは？</x:v>
      </x:c>
      <x:c r="F29" s="7" t="str">
        <x:v>await updateDoc(ref, { table: value });</x:v>
      </x:c>
      <x:c r="G29" s="7" t="str">
        <x:v>addDoc</x:v>
      </x:c>
      <x:c r="H29" s="7" t="str">
        <x:v>getDocs</x:v>
      </x:c>
      <x:c r="I29" s="7" t="str">
        <x:v>collection</x:v>
      </x:c>
      <x:c r="J29" s="7" t="str">
        <x:v>updateDoc</x:v>
      </x:c>
      <x:c r="K29" s="16" t="n">
        <x:v>4</x:v>
      </x:c>
      <x:c r="L29" s="7" t="str">
        <x:v>updateDoc</x:v>
      </x:c>
      <x:c r="M29" s="7" t="str">
        <x:v>一部フィールドだけを変更する操作です。</x:v>
      </x:c>
      <x:c r="N29" s="7" t="str">
        <x:v>updateDocは既存ドキュメントの指定フィールドだけを更新できます。ドキュメント全体を作り直す必要はありません。</x:v>
      </x:c>
      <x:c r="O29" s="7" t="str">
        <x:v>全範囲</x:v>
      </x:c>
      <x:c r="P29" s="12" t="str">
        <x:v>Firestore,updateDoc,table</x:v>
      </x:c>
    </x:row>
    <x:row r="30" ht="74" customHeight="1">
      <x:c r="A30" s="11" t="str">
        <x:v>FSQ-029</x:v>
      </x:c>
      <x:c r="B30" s="7" t="str">
        <x:v>更新</x:v>
      </x:c>
      <x:c r="C30" s="7" t="str">
        <x:v>中級</x:v>
      </x:c>
      <x:c r="D30" s="7" t="str">
        <x:v>4択</x:v>
      </x:c>
      <x:c r="E30" s="7" t="str">
        <x:v>既存ドキュメントの「guestCount」フィールドだけを変更したい。最も適切なAPIは？</x:v>
      </x:c>
      <x:c r="F30" s="7" t="str">
        <x:v>await updateDoc(ref, { guestCount: value });</x:v>
      </x:c>
      <x:c r="G30" s="7" t="str">
        <x:v>updateDoc</x:v>
      </x:c>
      <x:c r="H30" s="7" t="str">
        <x:v>addDoc</x:v>
      </x:c>
      <x:c r="I30" s="7" t="str">
        <x:v>getDocs</x:v>
      </x:c>
      <x:c r="J30" s="7" t="str">
        <x:v>collection</x:v>
      </x:c>
      <x:c r="K30" s="16" t="n">
        <x:v>1</x:v>
      </x:c>
      <x:c r="L30" s="7" t="str">
        <x:v>updateDoc</x:v>
      </x:c>
      <x:c r="M30" s="7" t="str">
        <x:v>一部フィールドだけを変更する操作です。</x:v>
      </x:c>
      <x:c r="N30" s="7" t="str">
        <x:v>updateDocは既存ドキュメントの指定フィールドだけを更新できます。ドキュメント全体を作り直す必要はありません。</x:v>
      </x:c>
      <x:c r="O30" s="7" t="str">
        <x:v>全範囲</x:v>
      </x:c>
      <x:c r="P30" s="12" t="str">
        <x:v>Firestore,updateDoc,guestCount</x:v>
      </x:c>
    </x:row>
    <x:row r="31" ht="74" customHeight="1">
      <x:c r="A31" s="11" t="str">
        <x:v>FSQ-030</x:v>
      </x:c>
      <x:c r="B31" s="7" t="str">
        <x:v>更新</x:v>
      </x:c>
      <x:c r="C31" s="7" t="str">
        <x:v>応用</x:v>
      </x:c>
      <x:c r="D31" s="7" t="str">
        <x:v>4択</x:v>
      </x:c>
      <x:c r="E31" s="7" t="str">
        <x:v>既存ドキュメントの「staffCode」フィールドだけを変更したい。最も適切なAPIは？</x:v>
      </x:c>
      <x:c r="F31" s="7" t="str">
        <x:v>await updateDoc(ref, { staffCode: value });</x:v>
      </x:c>
      <x:c r="G31" s="7" t="str">
        <x:v>addDoc</x:v>
      </x:c>
      <x:c r="H31" s="7" t="str">
        <x:v>updateDoc</x:v>
      </x:c>
      <x:c r="I31" s="7" t="str">
        <x:v>getDocs</x:v>
      </x:c>
      <x:c r="J31" s="7" t="str">
        <x:v>collection</x:v>
      </x:c>
      <x:c r="K31" s="16" t="n">
        <x:v>2</x:v>
      </x:c>
      <x:c r="L31" s="7" t="str">
        <x:v>updateDoc</x:v>
      </x:c>
      <x:c r="M31" s="7" t="str">
        <x:v>一部フィールドだけを変更する操作です。</x:v>
      </x:c>
      <x:c r="N31" s="7" t="str">
        <x:v>updateDocは既存ドキュメントの指定フィールドだけを更新できます。ドキュメント全体を作り直す必要はありません。</x:v>
      </x:c>
      <x:c r="O31" s="7" t="str">
        <x:v>全範囲</x:v>
      </x:c>
      <x:c r="P31" s="12" t="str">
        <x:v>Firestore,updateDoc,staffCode</x:v>
      </x:c>
    </x:row>
    <x:row r="32" ht="74" customHeight="1">
      <x:c r="A32" s="11" t="str">
        <x:v>FSQ-031</x:v>
      </x:c>
      <x:c r="B32" s="7" t="str">
        <x:v>更新</x:v>
      </x:c>
      <x:c r="C32" s="7" t="str">
        <x:v>初級</x:v>
      </x:c>
      <x:c r="D32" s="7" t="str">
        <x:v>4択</x:v>
      </x:c>
      <x:c r="E32" s="7" t="str">
        <x:v>既存ドキュメントの「createdAt」フィールドだけを変更したい。最も適切なAPIは？</x:v>
      </x:c>
      <x:c r="F32" s="7" t="str">
        <x:v>await updateDoc(ref, { createdAt: value });</x:v>
      </x:c>
      <x:c r="G32" s="7" t="str">
        <x:v>addDoc</x:v>
      </x:c>
      <x:c r="H32" s="7" t="str">
        <x:v>getDocs</x:v>
      </x:c>
      <x:c r="I32" s="7" t="str">
        <x:v>updateDoc</x:v>
      </x:c>
      <x:c r="J32" s="7" t="str">
        <x:v>collection</x:v>
      </x:c>
      <x:c r="K32" s="16" t="n">
        <x:v>3</x:v>
      </x:c>
      <x:c r="L32" s="7" t="str">
        <x:v>updateDoc</x:v>
      </x:c>
      <x:c r="M32" s="7" t="str">
        <x:v>一部フィールドだけを変更する操作です。</x:v>
      </x:c>
      <x:c r="N32" s="7" t="str">
        <x:v>updateDocは既存ドキュメントの指定フィールドだけを更新できます。ドキュメント全体を作り直す必要はありません。</x:v>
      </x:c>
      <x:c r="O32" s="7" t="str">
        <x:v>全範囲</x:v>
      </x:c>
      <x:c r="P32" s="12" t="str">
        <x:v>Firestore,updateDoc,createdAt</x:v>
      </x:c>
    </x:row>
    <x:row r="33" ht="74" customHeight="1">
      <x:c r="A33" s="11" t="str">
        <x:v>FSQ-032</x:v>
      </x:c>
      <x:c r="B33" s="7" t="str">
        <x:v>更新</x:v>
      </x:c>
      <x:c r="C33" s="7" t="str">
        <x:v>初級</x:v>
      </x:c>
      <x:c r="D33" s="7" t="str">
        <x:v>4択</x:v>
      </x:c>
      <x:c r="E33" s="7" t="str">
        <x:v>既存ドキュメントの「updatedAt」フィールドだけを変更したい。最も適切なAPIは？</x:v>
      </x:c>
      <x:c r="F33" s="7" t="str">
        <x:v>await updateDoc(ref, { updatedAt: value });</x:v>
      </x:c>
      <x:c r="G33" s="7" t="str">
        <x:v>addDoc</x:v>
      </x:c>
      <x:c r="H33" s="7" t="str">
        <x:v>getDocs</x:v>
      </x:c>
      <x:c r="I33" s="7" t="str">
        <x:v>collection</x:v>
      </x:c>
      <x:c r="J33" s="7" t="str">
        <x:v>updateDoc</x:v>
      </x:c>
      <x:c r="K33" s="16" t="n">
        <x:v>4</x:v>
      </x:c>
      <x:c r="L33" s="7" t="str">
        <x:v>updateDoc</x:v>
      </x:c>
      <x:c r="M33" s="7" t="str">
        <x:v>一部フィールドだけを変更する操作です。</x:v>
      </x:c>
      <x:c r="N33" s="7" t="str">
        <x:v>updateDocは既存ドキュメントの指定フィールドだけを更新できます。ドキュメント全体を作り直す必要はありません。</x:v>
      </x:c>
      <x:c r="O33" s="7" t="str">
        <x:v>全範囲</x:v>
      </x:c>
      <x:c r="P33" s="12" t="str">
        <x:v>Firestore,updateDoc,updatedAt</x:v>
      </x:c>
    </x:row>
    <x:row r="34" ht="74" customHeight="1">
      <x:c r="A34" s="11" t="str">
        <x:v>FSQ-033</x:v>
      </x:c>
      <x:c r="B34" s="7" t="str">
        <x:v>更新</x:v>
      </x:c>
      <x:c r="C34" s="7" t="str">
        <x:v>中級</x:v>
      </x:c>
      <x:c r="D34" s="7" t="str">
        <x:v>4択</x:v>
      </x:c>
      <x:c r="E34" s="7" t="str">
        <x:v>既存ドキュメントの「priority」フィールドだけを変更したい。最も適切なAPIは？</x:v>
      </x:c>
      <x:c r="F34" s="7" t="str">
        <x:v>await updateDoc(ref, { priority: value });</x:v>
      </x:c>
      <x:c r="G34" s="7" t="str">
        <x:v>updateDoc</x:v>
      </x:c>
      <x:c r="H34" s="7" t="str">
        <x:v>addDoc</x:v>
      </x:c>
      <x:c r="I34" s="7" t="str">
        <x:v>getDocs</x:v>
      </x:c>
      <x:c r="J34" s="7" t="str">
        <x:v>collection</x:v>
      </x:c>
      <x:c r="K34" s="16" t="n">
        <x:v>1</x:v>
      </x:c>
      <x:c r="L34" s="7" t="str">
        <x:v>updateDoc</x:v>
      </x:c>
      <x:c r="M34" s="7" t="str">
        <x:v>一部フィールドだけを変更する操作です。</x:v>
      </x:c>
      <x:c r="N34" s="7" t="str">
        <x:v>updateDocは既存ドキュメントの指定フィールドだけを更新できます。ドキュメント全体を作り直す必要はありません。</x:v>
      </x:c>
      <x:c r="O34" s="7" t="str">
        <x:v>全範囲</x:v>
      </x:c>
      <x:c r="P34" s="12" t="str">
        <x:v>Firestore,updateDoc,priority</x:v>
      </x:c>
    </x:row>
    <x:row r="35" ht="74" customHeight="1">
      <x:c r="A35" s="11" t="str">
        <x:v>FSQ-034</x:v>
      </x:c>
      <x:c r="B35" s="7" t="str">
        <x:v>更新</x:v>
      </x:c>
      <x:c r="C35" s="7" t="str">
        <x:v>中級</x:v>
      </x:c>
      <x:c r="D35" s="7" t="str">
        <x:v>4択</x:v>
      </x:c>
      <x:c r="E35" s="7" t="str">
        <x:v>既存ドキュメントの「orderMethod」フィールドだけを変更したい。最も適切なAPIは？</x:v>
      </x:c>
      <x:c r="F35" s="7" t="str">
        <x:v>await updateDoc(ref, { orderMethod: value });</x:v>
      </x:c>
      <x:c r="G35" s="7" t="str">
        <x:v>addDoc</x:v>
      </x:c>
      <x:c r="H35" s="7" t="str">
        <x:v>updateDoc</x:v>
      </x:c>
      <x:c r="I35" s="7" t="str">
        <x:v>getDocs</x:v>
      </x:c>
      <x:c r="J35" s="7" t="str">
        <x:v>collection</x:v>
      </x:c>
      <x:c r="K35" s="16" t="n">
        <x:v>2</x:v>
      </x:c>
      <x:c r="L35" s="7" t="str">
        <x:v>updateDoc</x:v>
      </x:c>
      <x:c r="M35" s="7" t="str">
        <x:v>一部フィールドだけを変更する操作です。</x:v>
      </x:c>
      <x:c r="N35" s="7" t="str">
        <x:v>updateDocは既存ドキュメントの指定フィールドだけを更新できます。ドキュメント全体を作り直す必要はありません。</x:v>
      </x:c>
      <x:c r="O35" s="7" t="str">
        <x:v>全範囲</x:v>
      </x:c>
      <x:c r="P35" s="12" t="str">
        <x:v>Firestore,updateDoc,orderMethod</x:v>
      </x:c>
    </x:row>
    <x:row r="36" ht="74" customHeight="1">
      <x:c r="A36" s="11" t="str">
        <x:v>FSQ-035</x:v>
      </x:c>
      <x:c r="B36" s="7" t="str">
        <x:v>更新</x:v>
      </x:c>
      <x:c r="C36" s="7" t="str">
        <x:v>応用</x:v>
      </x:c>
      <x:c r="D36" s="7" t="str">
        <x:v>4択</x:v>
      </x:c>
      <x:c r="E36" s="7" t="str">
        <x:v>既存ドキュメントの「answeredAt」フィールドだけを変更したい。最も適切なAPIは？</x:v>
      </x:c>
      <x:c r="F36" s="7" t="str">
        <x:v>await updateDoc(ref, { answeredAt: value });</x:v>
      </x:c>
      <x:c r="G36" s="7" t="str">
        <x:v>addDoc</x:v>
      </x:c>
      <x:c r="H36" s="7" t="str">
        <x:v>getDocs</x:v>
      </x:c>
      <x:c r="I36" s="7" t="str">
        <x:v>updateDoc</x:v>
      </x:c>
      <x:c r="J36" s="7" t="str">
        <x:v>collection</x:v>
      </x:c>
      <x:c r="K36" s="16" t="n">
        <x:v>3</x:v>
      </x:c>
      <x:c r="L36" s="7" t="str">
        <x:v>updateDoc</x:v>
      </x:c>
      <x:c r="M36" s="7" t="str">
        <x:v>一部フィールドだけを変更する操作です。</x:v>
      </x:c>
      <x:c r="N36" s="7" t="str">
        <x:v>updateDocは既存ドキュメントの指定フィールドだけを更新できます。ドキュメント全体を作り直す必要はありません。</x:v>
      </x:c>
      <x:c r="O36" s="7" t="str">
        <x:v>全範囲</x:v>
      </x:c>
      <x:c r="P36" s="12" t="str">
        <x:v>Firestore,updateDoc,answeredAt</x:v>
      </x:c>
    </x:row>
    <x:row r="37" ht="74" customHeight="1">
      <x:c r="A37" s="11" t="str">
        <x:v>FSQ-036</x:v>
      </x:c>
      <x:c r="B37" s="7" t="str">
        <x:v>更新</x:v>
      </x:c>
      <x:c r="C37" s="7" t="str">
        <x:v>初級</x:v>
      </x:c>
      <x:c r="D37" s="7" t="str">
        <x:v>4択</x:v>
      </x:c>
      <x:c r="E37" s="7" t="str">
        <x:v>既存ドキュメントの「category」フィールドだけを変更したい。最も適切なAPIは？</x:v>
      </x:c>
      <x:c r="F37" s="7" t="str">
        <x:v>await updateDoc(ref, { category: value });</x:v>
      </x:c>
      <x:c r="G37" s="7" t="str">
        <x:v>addDoc</x:v>
      </x:c>
      <x:c r="H37" s="7" t="str">
        <x:v>getDocs</x:v>
      </x:c>
      <x:c r="I37" s="7" t="str">
        <x:v>collection</x:v>
      </x:c>
      <x:c r="J37" s="7" t="str">
        <x:v>updateDoc</x:v>
      </x:c>
      <x:c r="K37" s="16" t="n">
        <x:v>4</x:v>
      </x:c>
      <x:c r="L37" s="7" t="str">
        <x:v>updateDoc</x:v>
      </x:c>
      <x:c r="M37" s="7" t="str">
        <x:v>一部フィールドだけを変更する操作です。</x:v>
      </x:c>
      <x:c r="N37" s="7" t="str">
        <x:v>updateDocは既存ドキュメントの指定フィールドだけを更新できます。ドキュメント全体を作り直す必要はありません。</x:v>
      </x:c>
      <x:c r="O37" s="7" t="str">
        <x:v>全範囲</x:v>
      </x:c>
      <x:c r="P37" s="12" t="str">
        <x:v>Firestore,updateDoc,category</x:v>
      </x:c>
    </x:row>
    <x:row r="38" ht="74" customHeight="1">
      <x:c r="A38" s="11" t="str">
        <x:v>FSQ-037</x:v>
      </x:c>
      <x:c r="B38" s="7" t="str">
        <x:v>クエリ</x:v>
      </x:c>
      <x:c r="C38" s="7" t="str">
        <x:v>初級</x:v>
      </x:c>
      <x:c r="D38" s="7" t="str">
        <x:v>4択</x:v>
      </x:c>
      <x:c r="E38" s="7" t="str">
        <x:v>statusが特定の値のドキュメントだけを取得したい。使う条件は？</x:v>
      </x:c>
      <x:c r="F38" s="7" t="str">
        <x:v>query(collection(db, 'orders'), where('status', '==', value));</x:v>
      </x:c>
      <x:c r="G38" s="7" t="str">
        <x:v>where('status', '==', value)</x:v>
      </x:c>
      <x:c r="H38" s="7" t="str">
        <x:v>orderBy('status')だけ</x:v>
      </x:c>
      <x:c r="I38" s="7" t="str">
        <x:v>limit('status')</x:v>
      </x:c>
      <x:c r="J38" s="7" t="str">
        <x:v>doc(db, 'status')</x:v>
      </x:c>
      <x:c r="K38" s="16" t="n">
        <x:v>1</x:v>
      </x:c>
      <x:c r="L38" s="7" t="str">
        <x:v>where('status', '==', value)</x:v>
      </x:c>
      <x:c r="M38" s="7" t="str">
        <x:v>条件で絞り込むAPIを選びます。</x:v>
      </x:c>
      <x:c r="N38" s="7" t="str">
        <x:v>whereはフィールド条件でクエリ結果を絞り込みます。orderByは並び替え、limitは件数制限です。</x:v>
      </x:c>
      <x:c r="O38" s="7" t="str">
        <x:v>日替わり</x:v>
      </x:c>
      <x:c r="P38" s="12" t="str">
        <x:v>Firestore,where,status</x:v>
      </x:c>
    </x:row>
    <x:row r="39" ht="74" customHeight="1">
      <x:c r="A39" s="11" t="str">
        <x:v>FSQ-038</x:v>
      </x:c>
      <x:c r="B39" s="7" t="str">
        <x:v>クエリ</x:v>
      </x:c>
      <x:c r="C39" s="7" t="str">
        <x:v>中級</x:v>
      </x:c>
      <x:c r="D39" s="7" t="str">
        <x:v>4択</x:v>
      </x:c>
      <x:c r="E39" s="7" t="str">
        <x:v>tableが特定の値のドキュメントだけを取得したい。使う条件は？</x:v>
      </x:c>
      <x:c r="F39" s="7" t="str">
        <x:v>query(collection(db, 'orders'), where('table', '==', value));</x:v>
      </x:c>
      <x:c r="G39" s="7" t="str">
        <x:v>orderBy('table')だけ</x:v>
      </x:c>
      <x:c r="H39" s="7" t="str">
        <x:v>where('table', '==', value)</x:v>
      </x:c>
      <x:c r="I39" s="7" t="str">
        <x:v>limit('table')</x:v>
      </x:c>
      <x:c r="J39" s="7" t="str">
        <x:v>doc(db, 'table')</x:v>
      </x:c>
      <x:c r="K39" s="16" t="n">
        <x:v>2</x:v>
      </x:c>
      <x:c r="L39" s="7" t="str">
        <x:v>where('table', '==', value)</x:v>
      </x:c>
      <x:c r="M39" s="7" t="str">
        <x:v>条件で絞り込むAPIを選びます。</x:v>
      </x:c>
      <x:c r="N39" s="7" t="str">
        <x:v>whereはフィールド条件でクエリ結果を絞り込みます。orderByは並び替え、limitは件数制限です。</x:v>
      </x:c>
      <x:c r="O39" s="7" t="str">
        <x:v>日替わり</x:v>
      </x:c>
      <x:c r="P39" s="12" t="str">
        <x:v>Firestore,where,table</x:v>
      </x:c>
    </x:row>
    <x:row r="40" ht="74" customHeight="1">
      <x:c r="A40" s="11" t="str">
        <x:v>FSQ-039</x:v>
      </x:c>
      <x:c r="B40" s="7" t="str">
        <x:v>クエリ</x:v>
      </x:c>
      <x:c r="C40" s="7" t="str">
        <x:v>中級</x:v>
      </x:c>
      <x:c r="D40" s="7" t="str">
        <x:v>4択</x:v>
      </x:c>
      <x:c r="E40" s="7" t="str">
        <x:v>guestCountが特定の値のドキュメントだけを取得したい。使う条件は？</x:v>
      </x:c>
      <x:c r="F40" s="7" t="str">
        <x:v>query(collection(db, 'orders'), where('guestCount', '==', value));</x:v>
      </x:c>
      <x:c r="G40" s="7" t="str">
        <x:v>orderBy('guestCount')だけ</x:v>
      </x:c>
      <x:c r="H40" s="7" t="str">
        <x:v>limit('guestCount')</x:v>
      </x:c>
      <x:c r="I40" s="7" t="str">
        <x:v>where('guestCount', '==', value)</x:v>
      </x:c>
      <x:c r="J40" s="7" t="str">
        <x:v>doc(db, 'guestCount')</x:v>
      </x:c>
      <x:c r="K40" s="16" t="n">
        <x:v>3</x:v>
      </x:c>
      <x:c r="L40" s="7" t="str">
        <x:v>where('guestCount', '==', value)</x:v>
      </x:c>
      <x:c r="M40" s="7" t="str">
        <x:v>条件で絞り込むAPIを選びます。</x:v>
      </x:c>
      <x:c r="N40" s="7" t="str">
        <x:v>whereはフィールド条件でクエリ結果を絞り込みます。orderByは並び替え、limitは件数制限です。</x:v>
      </x:c>
      <x:c r="O40" s="7" t="str">
        <x:v>日替わり</x:v>
      </x:c>
      <x:c r="P40" s="12" t="str">
        <x:v>Firestore,where,guestCount</x:v>
      </x:c>
    </x:row>
    <x:row r="41" ht="74" customHeight="1">
      <x:c r="A41" s="11" t="str">
        <x:v>FSQ-040</x:v>
      </x:c>
      <x:c r="B41" s="7" t="str">
        <x:v>クエリ</x:v>
      </x:c>
      <x:c r="C41" s="7" t="str">
        <x:v>応用</x:v>
      </x:c>
      <x:c r="D41" s="7" t="str">
        <x:v>4択</x:v>
      </x:c>
      <x:c r="E41" s="7" t="str">
        <x:v>staffCodeが特定の値のドキュメントだけを取得したい。使う条件は？</x:v>
      </x:c>
      <x:c r="F41" s="7" t="str">
        <x:v>query(collection(db, 'orders'), where('staffCode', '==', value));</x:v>
      </x:c>
      <x:c r="G41" s="7" t="str">
        <x:v>orderBy('staffCode')だけ</x:v>
      </x:c>
      <x:c r="H41" s="7" t="str">
        <x:v>limit('staffCode')</x:v>
      </x:c>
      <x:c r="I41" s="7" t="str">
        <x:v>doc(db, 'staffCode')</x:v>
      </x:c>
      <x:c r="J41" s="7" t="str">
        <x:v>where('staffCode', '==', value)</x:v>
      </x:c>
      <x:c r="K41" s="16" t="n">
        <x:v>4</x:v>
      </x:c>
      <x:c r="L41" s="7" t="str">
        <x:v>where('staffCode', '==', value)</x:v>
      </x:c>
      <x:c r="M41" s="7" t="str">
        <x:v>条件で絞り込むAPIを選びます。</x:v>
      </x:c>
      <x:c r="N41" s="7" t="str">
        <x:v>whereはフィールド条件でクエリ結果を絞り込みます。orderByは並び替え、limitは件数制限です。</x:v>
      </x:c>
      <x:c r="O41" s="7" t="str">
        <x:v>日替わり</x:v>
      </x:c>
      <x:c r="P41" s="12" t="str">
        <x:v>Firestore,where,staffCode</x:v>
      </x:c>
    </x:row>
    <x:row r="42" ht="74" customHeight="1">
      <x:c r="A42" s="11" t="str">
        <x:v>FSQ-041</x:v>
      </x:c>
      <x:c r="B42" s="7" t="str">
        <x:v>クエリ</x:v>
      </x:c>
      <x:c r="C42" s="7" t="str">
        <x:v>初級</x:v>
      </x:c>
      <x:c r="D42" s="7" t="str">
        <x:v>4択</x:v>
      </x:c>
      <x:c r="E42" s="7" t="str">
        <x:v>createdAtが特定の値のドキュメントだけを取得したい。使う条件は？</x:v>
      </x:c>
      <x:c r="F42" s="7" t="str">
        <x:v>query(collection(db, 'orders'), where('createdAt', '==', value));</x:v>
      </x:c>
      <x:c r="G42" s="7" t="str">
        <x:v>where('createdAt', '==', value)</x:v>
      </x:c>
      <x:c r="H42" s="7" t="str">
        <x:v>orderBy('createdAt')だけ</x:v>
      </x:c>
      <x:c r="I42" s="7" t="str">
        <x:v>limit('createdAt')</x:v>
      </x:c>
      <x:c r="J42" s="7" t="str">
        <x:v>doc(db, 'createdAt')</x:v>
      </x:c>
      <x:c r="K42" s="16" t="n">
        <x:v>1</x:v>
      </x:c>
      <x:c r="L42" s="7" t="str">
        <x:v>where('createdAt', '==', value)</x:v>
      </x:c>
      <x:c r="M42" s="7" t="str">
        <x:v>条件で絞り込むAPIを選びます。</x:v>
      </x:c>
      <x:c r="N42" s="7" t="str">
        <x:v>whereはフィールド条件でクエリ結果を絞り込みます。orderByは並び替え、limitは件数制限です。</x:v>
      </x:c>
      <x:c r="O42" s="7" t="str">
        <x:v>日替わり</x:v>
      </x:c>
      <x:c r="P42" s="12" t="str">
        <x:v>Firestore,where,createdAt</x:v>
      </x:c>
    </x:row>
    <x:row r="43" ht="74" customHeight="1">
      <x:c r="A43" s="11" t="str">
        <x:v>FSQ-042</x:v>
      </x:c>
      <x:c r="B43" s="7" t="str">
        <x:v>クエリ</x:v>
      </x:c>
      <x:c r="C43" s="7" t="str">
        <x:v>初級</x:v>
      </x:c>
      <x:c r="D43" s="7" t="str">
        <x:v>4択</x:v>
      </x:c>
      <x:c r="E43" s="7" t="str">
        <x:v>updatedAtが特定の値のドキュメントだけを取得したい。使う条件は？</x:v>
      </x:c>
      <x:c r="F43" s="7" t="str">
        <x:v>query(collection(db, 'orders'), where('updatedAt', '==', value));</x:v>
      </x:c>
      <x:c r="G43" s="7" t="str">
        <x:v>orderBy('updatedAt')だけ</x:v>
      </x:c>
      <x:c r="H43" s="7" t="str">
        <x:v>where('updatedAt', '==', value)</x:v>
      </x:c>
      <x:c r="I43" s="7" t="str">
        <x:v>limit('updatedAt')</x:v>
      </x:c>
      <x:c r="J43" s="7" t="str">
        <x:v>doc(db, 'updatedAt')</x:v>
      </x:c>
      <x:c r="K43" s="16" t="n">
        <x:v>2</x:v>
      </x:c>
      <x:c r="L43" s="7" t="str">
        <x:v>where('updatedAt', '==', value)</x:v>
      </x:c>
      <x:c r="M43" s="7" t="str">
        <x:v>条件で絞り込むAPIを選びます。</x:v>
      </x:c>
      <x:c r="N43" s="7" t="str">
        <x:v>whereはフィールド条件でクエリ結果を絞り込みます。orderByは並び替え、limitは件数制限です。</x:v>
      </x:c>
      <x:c r="O43" s="7" t="str">
        <x:v>日替わり</x:v>
      </x:c>
      <x:c r="P43" s="12" t="str">
        <x:v>Firestore,where,updatedAt</x:v>
      </x:c>
    </x:row>
    <x:row r="44" ht="74" customHeight="1">
      <x:c r="A44" s="11" t="str">
        <x:v>FSQ-043</x:v>
      </x:c>
      <x:c r="B44" s="7" t="str">
        <x:v>クエリ</x:v>
      </x:c>
      <x:c r="C44" s="7" t="str">
        <x:v>中級</x:v>
      </x:c>
      <x:c r="D44" s="7" t="str">
        <x:v>4択</x:v>
      </x:c>
      <x:c r="E44" s="7" t="str">
        <x:v>priorityが特定の値のドキュメントだけを取得したい。使う条件は？</x:v>
      </x:c>
      <x:c r="F44" s="7" t="str">
        <x:v>query(collection(db, 'orders'), where('priority', '==', value));</x:v>
      </x:c>
      <x:c r="G44" s="7" t="str">
        <x:v>orderBy('priority')だけ</x:v>
      </x:c>
      <x:c r="H44" s="7" t="str">
        <x:v>limit('priority')</x:v>
      </x:c>
      <x:c r="I44" s="7" t="str">
        <x:v>where('priority', '==', value)</x:v>
      </x:c>
      <x:c r="J44" s="7" t="str">
        <x:v>doc(db, 'priority')</x:v>
      </x:c>
      <x:c r="K44" s="16" t="n">
        <x:v>3</x:v>
      </x:c>
      <x:c r="L44" s="7" t="str">
        <x:v>where('priority', '==', value)</x:v>
      </x:c>
      <x:c r="M44" s="7" t="str">
        <x:v>条件で絞り込むAPIを選びます。</x:v>
      </x:c>
      <x:c r="N44" s="7" t="str">
        <x:v>whereはフィールド条件でクエリ結果を絞り込みます。orderByは並び替え、limitは件数制限です。</x:v>
      </x:c>
      <x:c r="O44" s="7" t="str">
        <x:v>日替わり</x:v>
      </x:c>
      <x:c r="P44" s="12" t="str">
        <x:v>Firestore,where,priority</x:v>
      </x:c>
    </x:row>
    <x:row r="45" ht="74" customHeight="1">
      <x:c r="A45" s="11" t="str">
        <x:v>FSQ-044</x:v>
      </x:c>
      <x:c r="B45" s="7" t="str">
        <x:v>クエリ</x:v>
      </x:c>
      <x:c r="C45" s="7" t="str">
        <x:v>中級</x:v>
      </x:c>
      <x:c r="D45" s="7" t="str">
        <x:v>4択</x:v>
      </x:c>
      <x:c r="E45" s="7" t="str">
        <x:v>orderMethodが特定の値のドキュメントだけを取得したい。使う条件は？</x:v>
      </x:c>
      <x:c r="F45" s="7" t="str">
        <x:v>query(collection(db, 'orders'), where('orderMethod', '==', value));</x:v>
      </x:c>
      <x:c r="G45" s="7" t="str">
        <x:v>orderBy('orderMethod')だけ</x:v>
      </x:c>
      <x:c r="H45" s="7" t="str">
        <x:v>limit('orderMethod')</x:v>
      </x:c>
      <x:c r="I45" s="7" t="str">
        <x:v>doc(db, 'orderMethod')</x:v>
      </x:c>
      <x:c r="J45" s="7" t="str">
        <x:v>where('orderMethod', '==', value)</x:v>
      </x:c>
      <x:c r="K45" s="16" t="n">
        <x:v>4</x:v>
      </x:c>
      <x:c r="L45" s="7" t="str">
        <x:v>where('orderMethod', '==', value)</x:v>
      </x:c>
      <x:c r="M45" s="7" t="str">
        <x:v>条件で絞り込むAPIを選びます。</x:v>
      </x:c>
      <x:c r="N45" s="7" t="str">
        <x:v>whereはフィールド条件でクエリ結果を絞り込みます。orderByは並び替え、limitは件数制限です。</x:v>
      </x:c>
      <x:c r="O45" s="7" t="str">
        <x:v>日替わり</x:v>
      </x:c>
      <x:c r="P45" s="12" t="str">
        <x:v>Firestore,where,orderMethod</x:v>
      </x:c>
    </x:row>
    <x:row r="46" ht="74" customHeight="1">
      <x:c r="A46" s="11" t="str">
        <x:v>FSQ-045</x:v>
      </x:c>
      <x:c r="B46" s="7" t="str">
        <x:v>クエリ</x:v>
      </x:c>
      <x:c r="C46" s="7" t="str">
        <x:v>応用</x:v>
      </x:c>
      <x:c r="D46" s="7" t="str">
        <x:v>4択</x:v>
      </x:c>
      <x:c r="E46" s="7" t="str">
        <x:v>answeredAtが特定の値のドキュメントだけを取得したい。使う条件は？</x:v>
      </x:c>
      <x:c r="F46" s="7" t="str">
        <x:v>query(collection(db, 'orders'), where('answeredAt', '==', value));</x:v>
      </x:c>
      <x:c r="G46" s="7" t="str">
        <x:v>where('answeredAt', '==', value)</x:v>
      </x:c>
      <x:c r="H46" s="7" t="str">
        <x:v>orderBy('answeredAt')だけ</x:v>
      </x:c>
      <x:c r="I46" s="7" t="str">
        <x:v>limit('answeredAt')</x:v>
      </x:c>
      <x:c r="J46" s="7" t="str">
        <x:v>doc(db, 'answeredAt')</x:v>
      </x:c>
      <x:c r="K46" s="16" t="n">
        <x:v>1</x:v>
      </x:c>
      <x:c r="L46" s="7" t="str">
        <x:v>where('answeredAt', '==', value)</x:v>
      </x:c>
      <x:c r="M46" s="7" t="str">
        <x:v>条件で絞り込むAPIを選びます。</x:v>
      </x:c>
      <x:c r="N46" s="7" t="str">
        <x:v>whereはフィールド条件でクエリ結果を絞り込みます。orderByは並び替え、limitは件数制限です。</x:v>
      </x:c>
      <x:c r="O46" s="7" t="str">
        <x:v>日替わり</x:v>
      </x:c>
      <x:c r="P46" s="12" t="str">
        <x:v>Firestore,where,answeredAt</x:v>
      </x:c>
    </x:row>
    <x:row r="47" ht="74" customHeight="1">
      <x:c r="A47" s="11" t="str">
        <x:v>FSQ-046</x:v>
      </x:c>
      <x:c r="B47" s="7" t="str">
        <x:v>クエリ</x:v>
      </x:c>
      <x:c r="C47" s="7" t="str">
        <x:v>初級</x:v>
      </x:c>
      <x:c r="D47" s="7" t="str">
        <x:v>4択</x:v>
      </x:c>
      <x:c r="E47" s="7" t="str">
        <x:v>categoryが特定の値のドキュメントだけを取得したい。使う条件は？</x:v>
      </x:c>
      <x:c r="F47" s="7" t="str">
        <x:v>query(collection(db, 'orders'), where('category', '==', value));</x:v>
      </x:c>
      <x:c r="G47" s="7" t="str">
        <x:v>orderBy('category')だけ</x:v>
      </x:c>
      <x:c r="H47" s="7" t="str">
        <x:v>where('category', '==', value)</x:v>
      </x:c>
      <x:c r="I47" s="7" t="str">
        <x:v>limit('category')</x:v>
      </x:c>
      <x:c r="J47" s="7" t="str">
        <x:v>doc(db, 'category')</x:v>
      </x:c>
      <x:c r="K47" s="16" t="n">
        <x:v>2</x:v>
      </x:c>
      <x:c r="L47" s="7" t="str">
        <x:v>where('category', '==', value)</x:v>
      </x:c>
      <x:c r="M47" s="7" t="str">
        <x:v>条件で絞り込むAPIを選びます。</x:v>
      </x:c>
      <x:c r="N47" s="7" t="str">
        <x:v>whereはフィールド条件でクエリ結果を絞り込みます。orderByは並び替え、limitは件数制限です。</x:v>
      </x:c>
      <x:c r="O47" s="7" t="str">
        <x:v>日替わり</x:v>
      </x:c>
      <x:c r="P47" s="12" t="str">
        <x:v>Firestore,where,category</x:v>
      </x:c>
    </x:row>
    <x:row r="48" ht="74" customHeight="1">
      <x:c r="A48" s="11" t="str">
        <x:v>FSQ-047</x:v>
      </x:c>
      <x:c r="B48" s="7" t="str">
        <x:v>インデックス</x:v>
      </x:c>
      <x:c r="C48" s="7" t="str">
        <x:v>初級</x:v>
      </x:c>
      <x:c r="D48" s="7" t="str">
        <x:v>4択</x:v>
      </x:c>
      <x:c r="E48" s="7" t="str">
        <x:v>whereで絞り込み、statusでorderByしたクエリがFirestoreで失敗した。必要になることが多い設定は？</x:v>
      </x:c>
      <x:c r="F48" s="7" t="str">
        <x:v>query(collection(db, 'orders'), where('status', '==', 'waiting'), orderBy('status'));</x:v>
      </x:c>
      <x:c r="G48" s="7" t="str">
        <x:v>Storageバケット</x:v>
      </x:c>
      <x:c r="H48" s="7" t="str">
        <x:v>CSSリセット</x:v>
      </x:c>
      <x:c r="I48" s="7" t="str">
        <x:v>複合インデックス</x:v>
      </x:c>
      <x:c r="J48" s="7" t="str">
        <x:v>HTMLのmetaタグ</x:v>
      </x:c>
      <x:c r="K48" s="16" t="n">
        <x:v>3</x:v>
      </x:c>
      <x:c r="L48" s="7" t="str">
        <x:v>複合インデックス</x:v>
      </x:c>
      <x:c r="M48" s="7" t="str">
        <x:v>Firestoreのエラーに作成リンクが出ることがあります。</x:v>
      </x:c>
      <x:c r="N48" s="7" t="str">
        <x:v>Firestoreでは複数条件や並び替えを組み合わせるクエリで複合インデックスが必要になる場合があります。</x:v>
      </x:c>
      <x:c r="O48" s="7" t="str">
        <x:v>全範囲</x:v>
      </x:c>
      <x:c r="P48" s="12" t="str">
        <x:v>Firestore,index,status</x:v>
      </x:c>
    </x:row>
    <x:row r="49" ht="74" customHeight="1">
      <x:c r="A49" s="11" t="str">
        <x:v>FSQ-048</x:v>
      </x:c>
      <x:c r="B49" s="7" t="str">
        <x:v>インデックス</x:v>
      </x:c>
      <x:c r="C49" s="7" t="str">
        <x:v>中級</x:v>
      </x:c>
      <x:c r="D49" s="7" t="str">
        <x:v>4択</x:v>
      </x:c>
      <x:c r="E49" s="7" t="str">
        <x:v>whereで絞り込み、tableでorderByしたクエリがFirestoreで失敗した。必要になることが多い設定は？</x:v>
      </x:c>
      <x:c r="F49" s="7" t="str">
        <x:v>query(collection(db, 'orders'), where('status', '==', 'waiting'), orderBy('table'));</x:v>
      </x:c>
      <x:c r="G49" s="7" t="str">
        <x:v>Storageバケット</x:v>
      </x:c>
      <x:c r="H49" s="7" t="str">
        <x:v>CSSリセット</x:v>
      </x:c>
      <x:c r="I49" s="7" t="str">
        <x:v>HTMLのmetaタグ</x:v>
      </x:c>
      <x:c r="J49" s="7" t="str">
        <x:v>複合インデックス</x:v>
      </x:c>
      <x:c r="K49" s="16" t="n">
        <x:v>4</x:v>
      </x:c>
      <x:c r="L49" s="7" t="str">
        <x:v>複合インデックス</x:v>
      </x:c>
      <x:c r="M49" s="7" t="str">
        <x:v>Firestoreのエラーに作成リンクが出ることがあります。</x:v>
      </x:c>
      <x:c r="N49" s="7" t="str">
        <x:v>Firestoreでは複数条件や並び替えを組み合わせるクエリで複合インデックスが必要になる場合があります。</x:v>
      </x:c>
      <x:c r="O49" s="7" t="str">
        <x:v>全範囲</x:v>
      </x:c>
      <x:c r="P49" s="12" t="str">
        <x:v>Firestore,index,table</x:v>
      </x:c>
    </x:row>
    <x:row r="50" ht="74" customHeight="1">
      <x:c r="A50" s="11" t="str">
        <x:v>FSQ-049</x:v>
      </x:c>
      <x:c r="B50" s="7" t="str">
        <x:v>インデックス</x:v>
      </x:c>
      <x:c r="C50" s="7" t="str">
        <x:v>中級</x:v>
      </x:c>
      <x:c r="D50" s="7" t="str">
        <x:v>4択</x:v>
      </x:c>
      <x:c r="E50" s="7" t="str">
        <x:v>whereで絞り込み、guestCountでorderByしたクエリがFirestoreで失敗した。必要になることが多い設定は？</x:v>
      </x:c>
      <x:c r="F50" s="7" t="str">
        <x:v>query(collection(db, 'orders'), where('status', '==', 'waiting'), orderBy('guestCount'));</x:v>
      </x:c>
      <x:c r="G50" s="7" t="str">
        <x:v>複合インデックス</x:v>
      </x:c>
      <x:c r="H50" s="7" t="str">
        <x:v>Storageバケット</x:v>
      </x:c>
      <x:c r="I50" s="7" t="str">
        <x:v>CSSリセット</x:v>
      </x:c>
      <x:c r="J50" s="7" t="str">
        <x:v>HTMLのmetaタグ</x:v>
      </x:c>
      <x:c r="K50" s="16" t="n">
        <x:v>1</x:v>
      </x:c>
      <x:c r="L50" s="7" t="str">
        <x:v>複合インデックス</x:v>
      </x:c>
      <x:c r="M50" s="7" t="str">
        <x:v>Firestoreのエラーに作成リンクが出ることがあります。</x:v>
      </x:c>
      <x:c r="N50" s="7" t="str">
        <x:v>Firestoreでは複数条件や並び替えを組み合わせるクエリで複合インデックスが必要になる場合があります。</x:v>
      </x:c>
      <x:c r="O50" s="7" t="str">
        <x:v>全範囲</x:v>
      </x:c>
      <x:c r="P50" s="12" t="str">
        <x:v>Firestore,index,guestCount</x:v>
      </x:c>
    </x:row>
    <x:row r="51" ht="74" customHeight="1">
      <x:c r="A51" s="11" t="str">
        <x:v>FSQ-050</x:v>
      </x:c>
      <x:c r="B51" s="7" t="str">
        <x:v>インデックス</x:v>
      </x:c>
      <x:c r="C51" s="7" t="str">
        <x:v>応用</x:v>
      </x:c>
      <x:c r="D51" s="7" t="str">
        <x:v>4択</x:v>
      </x:c>
      <x:c r="E51" s="7" t="str">
        <x:v>whereで絞り込み、staffCodeでorderByしたクエリがFirestoreで失敗した。必要になることが多い設定は？</x:v>
      </x:c>
      <x:c r="F51" s="7" t="str">
        <x:v>query(collection(db, 'orders'), where('status', '==', 'waiting'), orderBy('staffCode'));</x:v>
      </x:c>
      <x:c r="G51" s="7" t="str">
        <x:v>Storageバケット</x:v>
      </x:c>
      <x:c r="H51" s="7" t="str">
        <x:v>複合インデックス</x:v>
      </x:c>
      <x:c r="I51" s="7" t="str">
        <x:v>CSSリセット</x:v>
      </x:c>
      <x:c r="J51" s="7" t="str">
        <x:v>HTMLのmetaタグ</x:v>
      </x:c>
      <x:c r="K51" s="16" t="n">
        <x:v>2</x:v>
      </x:c>
      <x:c r="L51" s="7" t="str">
        <x:v>複合インデックス</x:v>
      </x:c>
      <x:c r="M51" s="7" t="str">
        <x:v>Firestoreのエラーに作成リンクが出ることがあります。</x:v>
      </x:c>
      <x:c r="N51" s="7" t="str">
        <x:v>Firestoreでは複数条件や並び替えを組み合わせるクエリで複合インデックスが必要になる場合があります。</x:v>
      </x:c>
      <x:c r="O51" s="7" t="str">
        <x:v>全範囲</x:v>
      </x:c>
      <x:c r="P51" s="12" t="str">
        <x:v>Firestore,index,staffCode</x:v>
      </x:c>
    </x:row>
    <x:row r="52" ht="74" customHeight="1">
      <x:c r="A52" s="11" t="str">
        <x:v>FSQ-051</x:v>
      </x:c>
      <x:c r="B52" s="7" t="str">
        <x:v>インデックス</x:v>
      </x:c>
      <x:c r="C52" s="7" t="str">
        <x:v>初級</x:v>
      </x:c>
      <x:c r="D52" s="7" t="str">
        <x:v>4択</x:v>
      </x:c>
      <x:c r="E52" s="7" t="str">
        <x:v>whereで絞り込み、createdAtでorderByしたクエリがFirestoreで失敗した。必要になることが多い設定は？</x:v>
      </x:c>
      <x:c r="F52" s="7" t="str">
        <x:v>query(collection(db, 'orders'), where('status', '==', 'waiting'), orderBy('createdAt'));</x:v>
      </x:c>
      <x:c r="G52" s="7" t="str">
        <x:v>Storageバケット</x:v>
      </x:c>
      <x:c r="H52" s="7" t="str">
        <x:v>CSSリセット</x:v>
      </x:c>
      <x:c r="I52" s="7" t="str">
        <x:v>複合インデックス</x:v>
      </x:c>
      <x:c r="J52" s="7" t="str">
        <x:v>HTMLのmetaタグ</x:v>
      </x:c>
      <x:c r="K52" s="16" t="n">
        <x:v>3</x:v>
      </x:c>
      <x:c r="L52" s="7" t="str">
        <x:v>複合インデックス</x:v>
      </x:c>
      <x:c r="M52" s="7" t="str">
        <x:v>Firestoreのエラーに作成リンクが出ることがあります。</x:v>
      </x:c>
      <x:c r="N52" s="7" t="str">
        <x:v>Firestoreでは複数条件や並び替えを組み合わせるクエリで複合インデックスが必要になる場合があります。</x:v>
      </x:c>
      <x:c r="O52" s="7" t="str">
        <x:v>全範囲</x:v>
      </x:c>
      <x:c r="P52" s="12" t="str">
        <x:v>Firestore,index,createdAt</x:v>
      </x:c>
    </x:row>
    <x:row r="53" ht="74" customHeight="1">
      <x:c r="A53" s="11" t="str">
        <x:v>FSQ-052</x:v>
      </x:c>
      <x:c r="B53" s="7" t="str">
        <x:v>インデックス</x:v>
      </x:c>
      <x:c r="C53" s="7" t="str">
        <x:v>初級</x:v>
      </x:c>
      <x:c r="D53" s="7" t="str">
        <x:v>4択</x:v>
      </x:c>
      <x:c r="E53" s="7" t="str">
        <x:v>whereで絞り込み、updatedAtでorderByしたクエリがFirestoreで失敗した。必要になることが多い設定は？</x:v>
      </x:c>
      <x:c r="F53" s="7" t="str">
        <x:v>query(collection(db, 'orders'), where('status', '==', 'waiting'), orderBy('updatedAt'));</x:v>
      </x:c>
      <x:c r="G53" s="7" t="str">
        <x:v>Storageバケット</x:v>
      </x:c>
      <x:c r="H53" s="7" t="str">
        <x:v>CSSリセット</x:v>
      </x:c>
      <x:c r="I53" s="7" t="str">
        <x:v>HTMLのmetaタグ</x:v>
      </x:c>
      <x:c r="J53" s="7" t="str">
        <x:v>複合インデックス</x:v>
      </x:c>
      <x:c r="K53" s="16" t="n">
        <x:v>4</x:v>
      </x:c>
      <x:c r="L53" s="7" t="str">
        <x:v>複合インデックス</x:v>
      </x:c>
      <x:c r="M53" s="7" t="str">
        <x:v>Firestoreのエラーに作成リンクが出ることがあります。</x:v>
      </x:c>
      <x:c r="N53" s="7" t="str">
        <x:v>Firestoreでは複数条件や並び替えを組み合わせるクエリで複合インデックスが必要になる場合があります。</x:v>
      </x:c>
      <x:c r="O53" s="7" t="str">
        <x:v>全範囲</x:v>
      </x:c>
      <x:c r="P53" s="12" t="str">
        <x:v>Firestore,index,updatedAt</x:v>
      </x:c>
    </x:row>
    <x:row r="54" ht="74" customHeight="1">
      <x:c r="A54" s="11" t="str">
        <x:v>FSQ-053</x:v>
      </x:c>
      <x:c r="B54" s="7" t="str">
        <x:v>インデックス</x:v>
      </x:c>
      <x:c r="C54" s="7" t="str">
        <x:v>中級</x:v>
      </x:c>
      <x:c r="D54" s="7" t="str">
        <x:v>4択</x:v>
      </x:c>
      <x:c r="E54" s="7" t="str">
        <x:v>whereで絞り込み、priorityでorderByしたクエリがFirestoreで失敗した。必要になることが多い設定は？</x:v>
      </x:c>
      <x:c r="F54" s="7" t="str">
        <x:v>query(collection(db, 'orders'), where('status', '==', 'waiting'), orderBy('priority'));</x:v>
      </x:c>
      <x:c r="G54" s="7" t="str">
        <x:v>複合インデックス</x:v>
      </x:c>
      <x:c r="H54" s="7" t="str">
        <x:v>Storageバケット</x:v>
      </x:c>
      <x:c r="I54" s="7" t="str">
        <x:v>CSSリセット</x:v>
      </x:c>
      <x:c r="J54" s="7" t="str">
        <x:v>HTMLのmetaタグ</x:v>
      </x:c>
      <x:c r="K54" s="16" t="n">
        <x:v>1</x:v>
      </x:c>
      <x:c r="L54" s="7" t="str">
        <x:v>複合インデックス</x:v>
      </x:c>
      <x:c r="M54" s="7" t="str">
        <x:v>Firestoreのエラーに作成リンクが出ることがあります。</x:v>
      </x:c>
      <x:c r="N54" s="7" t="str">
        <x:v>Firestoreでは複数条件や並び替えを組み合わせるクエリで複合インデックスが必要になる場合があります。</x:v>
      </x:c>
      <x:c r="O54" s="7" t="str">
        <x:v>全範囲</x:v>
      </x:c>
      <x:c r="P54" s="12" t="str">
        <x:v>Firestore,index,priority</x:v>
      </x:c>
    </x:row>
    <x:row r="55" ht="74" customHeight="1">
      <x:c r="A55" s="11" t="str">
        <x:v>FSQ-054</x:v>
      </x:c>
      <x:c r="B55" s="7" t="str">
        <x:v>インデックス</x:v>
      </x:c>
      <x:c r="C55" s="7" t="str">
        <x:v>中級</x:v>
      </x:c>
      <x:c r="D55" s="7" t="str">
        <x:v>4択</x:v>
      </x:c>
      <x:c r="E55" s="7" t="str">
        <x:v>whereで絞り込み、orderMethodでorderByしたクエリがFirestoreで失敗した。必要になることが多い設定は？</x:v>
      </x:c>
      <x:c r="F55" s="7" t="str">
        <x:v>query(collection(db, 'orders'), where('status', '==', 'waiting'), orderBy('orderMethod'));</x:v>
      </x:c>
      <x:c r="G55" s="7" t="str">
        <x:v>Storageバケット</x:v>
      </x:c>
      <x:c r="H55" s="7" t="str">
        <x:v>複合インデックス</x:v>
      </x:c>
      <x:c r="I55" s="7" t="str">
        <x:v>CSSリセット</x:v>
      </x:c>
      <x:c r="J55" s="7" t="str">
        <x:v>HTMLのmetaタグ</x:v>
      </x:c>
      <x:c r="K55" s="16" t="n">
        <x:v>2</x:v>
      </x:c>
      <x:c r="L55" s="7" t="str">
        <x:v>複合インデックス</x:v>
      </x:c>
      <x:c r="M55" s="7" t="str">
        <x:v>Firestoreのエラーに作成リンクが出ることがあります。</x:v>
      </x:c>
      <x:c r="N55" s="7" t="str">
        <x:v>Firestoreでは複数条件や並び替えを組み合わせるクエリで複合インデックスが必要になる場合があります。</x:v>
      </x:c>
      <x:c r="O55" s="7" t="str">
        <x:v>全範囲</x:v>
      </x:c>
      <x:c r="P55" s="12" t="str">
        <x:v>Firestore,index,orderMethod</x:v>
      </x:c>
    </x:row>
    <x:row r="56" ht="74" customHeight="1">
      <x:c r="A56" s="11" t="str">
        <x:v>FSQ-055</x:v>
      </x:c>
      <x:c r="B56" s="7" t="str">
        <x:v>インデックス</x:v>
      </x:c>
      <x:c r="C56" s="7" t="str">
        <x:v>応用</x:v>
      </x:c>
      <x:c r="D56" s="7" t="str">
        <x:v>4択</x:v>
      </x:c>
      <x:c r="E56" s="7" t="str">
        <x:v>whereで絞り込み、answeredAtでorderByしたクエリがFirestoreで失敗した。必要になることが多い設定は？</x:v>
      </x:c>
      <x:c r="F56" s="7" t="str">
        <x:v>query(collection(db, 'orders'), where('status', '==', 'waiting'), orderBy('answeredAt'));</x:v>
      </x:c>
      <x:c r="G56" s="7" t="str">
        <x:v>Storageバケット</x:v>
      </x:c>
      <x:c r="H56" s="7" t="str">
        <x:v>CSSリセット</x:v>
      </x:c>
      <x:c r="I56" s="7" t="str">
        <x:v>複合インデックス</x:v>
      </x:c>
      <x:c r="J56" s="7" t="str">
        <x:v>HTMLのmetaタグ</x:v>
      </x:c>
      <x:c r="K56" s="16" t="n">
        <x:v>3</x:v>
      </x:c>
      <x:c r="L56" s="7" t="str">
        <x:v>複合インデックス</x:v>
      </x:c>
      <x:c r="M56" s="7" t="str">
        <x:v>Firestoreのエラーに作成リンクが出ることがあります。</x:v>
      </x:c>
      <x:c r="N56" s="7" t="str">
        <x:v>Firestoreでは複数条件や並び替えを組み合わせるクエリで複合インデックスが必要になる場合があります。</x:v>
      </x:c>
      <x:c r="O56" s="7" t="str">
        <x:v>全範囲</x:v>
      </x:c>
      <x:c r="P56" s="12" t="str">
        <x:v>Firestore,index,answeredAt</x:v>
      </x:c>
    </x:row>
    <x:row r="57" ht="74" customHeight="1">
      <x:c r="A57" s="11" t="str">
        <x:v>FSQ-056</x:v>
      </x:c>
      <x:c r="B57" s="7" t="str">
        <x:v>インデックス</x:v>
      </x:c>
      <x:c r="C57" s="7" t="str">
        <x:v>初級</x:v>
      </x:c>
      <x:c r="D57" s="7" t="str">
        <x:v>4択</x:v>
      </x:c>
      <x:c r="E57" s="7" t="str">
        <x:v>whereで絞り込み、categoryでorderByしたクエリがFirestoreで失敗した。必要になることが多い設定は？</x:v>
      </x:c>
      <x:c r="F57" s="7" t="str">
        <x:v>query(collection(db, 'orders'), where('status', '==', 'waiting'), orderBy('category'));</x:v>
      </x:c>
      <x:c r="G57" s="7" t="str">
        <x:v>Storageバケット</x:v>
      </x:c>
      <x:c r="H57" s="7" t="str">
        <x:v>CSSリセット</x:v>
      </x:c>
      <x:c r="I57" s="7" t="str">
        <x:v>HTMLのmetaタグ</x:v>
      </x:c>
      <x:c r="J57" s="7" t="str">
        <x:v>複合インデックス</x:v>
      </x:c>
      <x:c r="K57" s="16" t="n">
        <x:v>4</x:v>
      </x:c>
      <x:c r="L57" s="7" t="str">
        <x:v>複合インデックス</x:v>
      </x:c>
      <x:c r="M57" s="7" t="str">
        <x:v>Firestoreのエラーに作成リンクが出ることがあります。</x:v>
      </x:c>
      <x:c r="N57" s="7" t="str">
        <x:v>Firestoreでは複数条件や並び替えを組み合わせるクエリで複合インデックスが必要になる場合があります。</x:v>
      </x:c>
      <x:c r="O57" s="7" t="str">
        <x:v>全範囲</x:v>
      </x:c>
      <x:c r="P57" s="12" t="str">
        <x:v>Firestore,index,category</x:v>
      </x:c>
    </x:row>
    <x:row r="58" ht="74" customHeight="1">
      <x:c r="A58" s="11" t="str">
        <x:v>FSQ-057</x:v>
      </x:c>
      <x:c r="B58" s="7" t="str">
        <x:v>データ設計</x:v>
      </x:c>
      <x:c r="C58" s="7" t="str">
        <x:v>初級</x:v>
      </x:c>
      <x:c r="D58" s="7" t="str">
        <x:v>4択</x:v>
      </x:c>
      <x:c r="E58" s="7" t="str">
        <x:v>注文状態「waiting」をFirestoreで扱いやすく保存したい。自然なフィールド設計は？</x:v>
      </x:c>
      <x:c r="F58" s="7" t="str">
        <x:v>{ status: 'waiting' }</x:v>
      </x:c>
      <x:c r="G58" s="7" t="str">
        <x:v>statusフィールドに状態値として保存する</x:v>
      </x:c>
      <x:c r="H58" s="7" t="str">
        <x:v>背景色だけを保存する</x:v>
      </x:c>
      <x:c r="I58" s="7" t="str">
        <x:v>HTMLのボタン文言だけで判断する</x:v>
      </x:c>
      <x:c r="J58" s="7" t="str">
        <x:v>ドキュメントIDに毎回埋め込む</x:v>
      </x:c>
      <x:c r="K58" s="16" t="n">
        <x:v>1</x:v>
      </x:c>
      <x:c r="L58" s="7" t="str">
        <x:v>statusフィールドに状態値として保存する</x:v>
      </x:c>
      <x:c r="M58" s="7" t="str">
        <x:v>状態は表示ではなくデータとして保存します。</x:v>
      </x:c>
      <x:c r="N58" s="7" t="str">
        <x:v>statusをフィールドとして保存すると、whereで絞り込み、KDS表示、履歴集計などに使えます。</x:v>
      </x:c>
      <x:c r="O58" s="7" t="str">
        <x:v>全範囲</x:v>
      </x:c>
      <x:c r="P58" s="12" t="str">
        <x:v>Firestore,status,waiting</x:v>
      </x:c>
    </x:row>
    <x:row r="59" ht="74" customHeight="1">
      <x:c r="A59" s="11" t="str">
        <x:v>FSQ-058</x:v>
      </x:c>
      <x:c r="B59" s="7" t="str">
        <x:v>データ設計</x:v>
      </x:c>
      <x:c r="C59" s="7" t="str">
        <x:v>中級</x:v>
      </x:c>
      <x:c r="D59" s="7" t="str">
        <x:v>4択</x:v>
      </x:c>
      <x:c r="E59" s="7" t="str">
        <x:v>注文状態「cooking」をFirestoreで扱いやすく保存したい。自然なフィールド設計は？</x:v>
      </x:c>
      <x:c r="F59" s="7" t="str">
        <x:v>{ status: 'cooking' }</x:v>
      </x:c>
      <x:c r="G59" s="7" t="str">
        <x:v>背景色だけを保存する</x:v>
      </x:c>
      <x:c r="H59" s="7" t="str">
        <x:v>statusフィールドに状態値として保存する</x:v>
      </x:c>
      <x:c r="I59" s="7" t="str">
        <x:v>HTMLのボタン文言だけで判断する</x:v>
      </x:c>
      <x:c r="J59" s="7" t="str">
        <x:v>ドキュメントIDに毎回埋め込む</x:v>
      </x:c>
      <x:c r="K59" s="16" t="n">
        <x:v>2</x:v>
      </x:c>
      <x:c r="L59" s="7" t="str">
        <x:v>statusフィールドに状態値として保存する</x:v>
      </x:c>
      <x:c r="M59" s="7" t="str">
        <x:v>状態は表示ではなくデータとして保存します。</x:v>
      </x:c>
      <x:c r="N59" s="7" t="str">
        <x:v>statusをフィールドとして保存すると、whereで絞り込み、KDS表示、履歴集計などに使えます。</x:v>
      </x:c>
      <x:c r="O59" s="7" t="str">
        <x:v>全範囲</x:v>
      </x:c>
      <x:c r="P59" s="12" t="str">
        <x:v>Firestore,status,cooking</x:v>
      </x:c>
    </x:row>
    <x:row r="60" ht="74" customHeight="1">
      <x:c r="A60" s="11" t="str">
        <x:v>FSQ-059</x:v>
      </x:c>
      <x:c r="B60" s="7" t="str">
        <x:v>データ設計</x:v>
      </x:c>
      <x:c r="C60" s="7" t="str">
        <x:v>中級</x:v>
      </x:c>
      <x:c r="D60" s="7" t="str">
        <x:v>4択</x:v>
      </x:c>
      <x:c r="E60" s="7" t="str">
        <x:v>注文状態「ready」をFirestoreで扱いやすく保存したい。自然なフィールド設計は？</x:v>
      </x:c>
      <x:c r="F60" s="7" t="str">
        <x:v>{ status: 'ready' }</x:v>
      </x:c>
      <x:c r="G60" s="7" t="str">
        <x:v>背景色だけを保存する</x:v>
      </x:c>
      <x:c r="H60" s="7" t="str">
        <x:v>HTMLのボタン文言だけで判断する</x:v>
      </x:c>
      <x:c r="I60" s="7" t="str">
        <x:v>statusフィールドに状態値として保存する</x:v>
      </x:c>
      <x:c r="J60" s="7" t="str">
        <x:v>ドキュメントIDに毎回埋め込む</x:v>
      </x:c>
      <x:c r="K60" s="16" t="n">
        <x:v>3</x:v>
      </x:c>
      <x:c r="L60" s="7" t="str">
        <x:v>statusフィールドに状態値として保存する</x:v>
      </x:c>
      <x:c r="M60" s="7" t="str">
        <x:v>状態は表示ではなくデータとして保存します。</x:v>
      </x:c>
      <x:c r="N60" s="7" t="str">
        <x:v>statusをフィールドとして保存すると、whereで絞り込み、KDS表示、履歴集計などに使えます。</x:v>
      </x:c>
      <x:c r="O60" s="7" t="str">
        <x:v>全範囲</x:v>
      </x:c>
      <x:c r="P60" s="12" t="str">
        <x:v>Firestore,status,ready</x:v>
      </x:c>
    </x:row>
    <x:row r="61" ht="74" customHeight="1">
      <x:c r="A61" s="11" t="str">
        <x:v>FSQ-060</x:v>
      </x:c>
      <x:c r="B61" s="7" t="str">
        <x:v>データ設計</x:v>
      </x:c>
      <x:c r="C61" s="7" t="str">
        <x:v>応用</x:v>
      </x:c>
      <x:c r="D61" s="7" t="str">
        <x:v>4択</x:v>
      </x:c>
      <x:c r="E61" s="7" t="str">
        <x:v>注文状態「served」をFirestoreで扱いやすく保存したい。自然なフィールド設計は？</x:v>
      </x:c>
      <x:c r="F61" s="7" t="str">
        <x:v>{ status: 'served' }</x:v>
      </x:c>
      <x:c r="G61" s="7" t="str">
        <x:v>背景色だけを保存する</x:v>
      </x:c>
      <x:c r="H61" s="7" t="str">
        <x:v>HTMLのボタン文言だけで判断する</x:v>
      </x:c>
      <x:c r="I61" s="7" t="str">
        <x:v>ドキュメントIDに毎回埋め込む</x:v>
      </x:c>
      <x:c r="J61" s="7" t="str">
        <x:v>statusフィールドに状態値として保存する</x:v>
      </x:c>
      <x:c r="K61" s="16" t="n">
        <x:v>4</x:v>
      </x:c>
      <x:c r="L61" s="7" t="str">
        <x:v>statusフィールドに状態値として保存する</x:v>
      </x:c>
      <x:c r="M61" s="7" t="str">
        <x:v>状態は表示ではなくデータとして保存します。</x:v>
      </x:c>
      <x:c r="N61" s="7" t="str">
        <x:v>statusをフィールドとして保存すると、whereで絞り込み、KDS表示、履歴集計などに使えます。</x:v>
      </x:c>
      <x:c r="O61" s="7" t="str">
        <x:v>全範囲</x:v>
      </x:c>
      <x:c r="P61" s="12" t="str">
        <x:v>Firestore,status,served</x:v>
      </x:c>
    </x:row>
    <x:row r="62" ht="74" customHeight="1">
      <x:c r="A62" s="11" t="str">
        <x:v>FSQ-061</x:v>
      </x:c>
      <x:c r="B62" s="7" t="str">
        <x:v>データ設計</x:v>
      </x:c>
      <x:c r="C62" s="7" t="str">
        <x:v>初級</x:v>
      </x:c>
      <x:c r="D62" s="7" t="str">
        <x:v>4択</x:v>
      </x:c>
      <x:c r="E62" s="7" t="str">
        <x:v>注文状態「cancelled」をFirestoreで扱いやすく保存したい。自然なフィールド設計は？</x:v>
      </x:c>
      <x:c r="F62" s="7" t="str">
        <x:v>{ status: 'cancelled' }</x:v>
      </x:c>
      <x:c r="G62" s="7" t="str">
        <x:v>statusフィールドに状態値として保存する</x:v>
      </x:c>
      <x:c r="H62" s="7" t="str">
        <x:v>背景色だけを保存する</x:v>
      </x:c>
      <x:c r="I62" s="7" t="str">
        <x:v>HTMLのボタン文言だけで判断する</x:v>
      </x:c>
      <x:c r="J62" s="7" t="str">
        <x:v>ドキュメントIDに毎回埋め込む</x:v>
      </x:c>
      <x:c r="K62" s="16" t="n">
        <x:v>1</x:v>
      </x:c>
      <x:c r="L62" s="7" t="str">
        <x:v>statusフィールドに状態値として保存する</x:v>
      </x:c>
      <x:c r="M62" s="7" t="str">
        <x:v>状態は表示ではなくデータとして保存します。</x:v>
      </x:c>
      <x:c r="N62" s="7" t="str">
        <x:v>statusをフィールドとして保存すると、whereで絞り込み、KDS表示、履歴集計などに使えます。</x:v>
      </x:c>
      <x:c r="O62" s="7" t="str">
        <x:v>全範囲</x:v>
      </x:c>
      <x:c r="P62" s="12" t="str">
        <x:v>Firestore,status,cancelled</x:v>
      </x:c>
    </x:row>
    <x:row r="63" ht="74" customHeight="1">
      <x:c r="A63" s="11" t="str">
        <x:v>FSQ-062</x:v>
      </x:c>
      <x:c r="B63" s="7" t="str">
        <x:v>データ設計</x:v>
      </x:c>
      <x:c r="C63" s="7" t="str">
        <x:v>初級</x:v>
      </x:c>
      <x:c r="D63" s="7" t="str">
        <x:v>4択</x:v>
      </x:c>
      <x:c r="E63" s="7" t="str">
        <x:v>注文状態「hidden」をFirestoreで扱いやすく保存したい。自然なフィールド設計は？</x:v>
      </x:c>
      <x:c r="F63" s="7" t="str">
        <x:v>{ status: 'hidden' }</x:v>
      </x:c>
      <x:c r="G63" s="7" t="str">
        <x:v>背景色だけを保存する</x:v>
      </x:c>
      <x:c r="H63" s="7" t="str">
        <x:v>statusフィールドに状態値として保存する</x:v>
      </x:c>
      <x:c r="I63" s="7" t="str">
        <x:v>HTMLのボタン文言だけで判断する</x:v>
      </x:c>
      <x:c r="J63" s="7" t="str">
        <x:v>ドキュメントIDに毎回埋め込む</x:v>
      </x:c>
      <x:c r="K63" s="16" t="n">
        <x:v>2</x:v>
      </x:c>
      <x:c r="L63" s="7" t="str">
        <x:v>statusフィールドに状態値として保存する</x:v>
      </x:c>
      <x:c r="M63" s="7" t="str">
        <x:v>状態は表示ではなくデータとして保存します。</x:v>
      </x:c>
      <x:c r="N63" s="7" t="str">
        <x:v>statusをフィールドとして保存すると、whereで絞り込み、KDS表示、履歴集計などに使えます。</x:v>
      </x:c>
      <x:c r="O63" s="7" t="str">
        <x:v>全範囲</x:v>
      </x:c>
      <x:c r="P63" s="12" t="str">
        <x:v>Firestore,status,hidden</x:v>
      </x:c>
    </x:row>
    <x:row r="64" ht="74" customHeight="1">
      <x:c r="A64" s="11" t="str">
        <x:v>FSQ-063</x:v>
      </x:c>
      <x:c r="B64" s="7" t="str">
        <x:v>データ設計</x:v>
      </x:c>
      <x:c r="C64" s="7" t="str">
        <x:v>中級</x:v>
      </x:c>
      <x:c r="D64" s="7" t="str">
        <x:v>4択</x:v>
      </x:c>
      <x:c r="E64" s="7" t="str">
        <x:v>注文状態「archived」をFirestoreで扱いやすく保存したい。自然なフィールド設計は？</x:v>
      </x:c>
      <x:c r="F64" s="7" t="str">
        <x:v>{ status: 'archived' }</x:v>
      </x:c>
      <x:c r="G64" s="7" t="str">
        <x:v>背景色だけを保存する</x:v>
      </x:c>
      <x:c r="H64" s="7" t="str">
        <x:v>HTMLのボタン文言だけで判断する</x:v>
      </x:c>
      <x:c r="I64" s="7" t="str">
        <x:v>statusフィールドに状態値として保存する</x:v>
      </x:c>
      <x:c r="J64" s="7" t="str">
        <x:v>ドキュメントIDに毎回埋め込む</x:v>
      </x:c>
      <x:c r="K64" s="16" t="n">
        <x:v>3</x:v>
      </x:c>
      <x:c r="L64" s="7" t="str">
        <x:v>statusフィールドに状態値として保存する</x:v>
      </x:c>
      <x:c r="M64" s="7" t="str">
        <x:v>状態は表示ではなくデータとして保存します。</x:v>
      </x:c>
      <x:c r="N64" s="7" t="str">
        <x:v>statusをフィールドとして保存すると、whereで絞り込み、KDS表示、履歴集計などに使えます。</x:v>
      </x:c>
      <x:c r="O64" s="7" t="str">
        <x:v>全範囲</x:v>
      </x:c>
      <x:c r="P64" s="12" t="str">
        <x:v>Firestore,status,archived</x:v>
      </x:c>
    </x:row>
    <x:row r="65" ht="74" customHeight="1">
      <x:c r="A65" s="11" t="str">
        <x:v>FSQ-064</x:v>
      </x:c>
      <x:c r="B65" s="7" t="str">
        <x:v>データ設計</x:v>
      </x:c>
      <x:c r="C65" s="7" t="str">
        <x:v>中級</x:v>
      </x:c>
      <x:c r="D65" s="7" t="str">
        <x:v>4択</x:v>
      </x:c>
      <x:c r="E65" s="7" t="str">
        <x:v>注文状態「delayed」をFirestoreで扱いやすく保存したい。自然なフィールド設計は？</x:v>
      </x:c>
      <x:c r="F65" s="7" t="str">
        <x:v>{ status: 'delayed' }</x:v>
      </x:c>
      <x:c r="G65" s="7" t="str">
        <x:v>背景色だけを保存する</x:v>
      </x:c>
      <x:c r="H65" s="7" t="str">
        <x:v>HTMLのボタン文言だけで判断する</x:v>
      </x:c>
      <x:c r="I65" s="7" t="str">
        <x:v>ドキュメントIDに毎回埋め込む</x:v>
      </x:c>
      <x:c r="J65" s="7" t="str">
        <x:v>statusフィールドに状態値として保存する</x:v>
      </x:c>
      <x:c r="K65" s="16" t="n">
        <x:v>4</x:v>
      </x:c>
      <x:c r="L65" s="7" t="str">
        <x:v>statusフィールドに状態値として保存する</x:v>
      </x:c>
      <x:c r="M65" s="7" t="str">
        <x:v>状態は表示ではなくデータとして保存します。</x:v>
      </x:c>
      <x:c r="N65" s="7" t="str">
        <x:v>statusをフィールドとして保存すると、whereで絞り込み、KDS表示、履歴集計などに使えます。</x:v>
      </x:c>
      <x:c r="O65" s="7" t="str">
        <x:v>全範囲</x:v>
      </x:c>
      <x:c r="P65" s="12" t="str">
        <x:v>Firestore,status,delayed</x:v>
      </x:c>
    </x:row>
    <x:row r="66" ht="74" customHeight="1">
      <x:c r="A66" s="11" t="str">
        <x:v>FSQ-065</x:v>
      </x:c>
      <x:c r="B66" s="7" t="str">
        <x:v>タイムスタンプ</x:v>
      </x:c>
      <x:c r="C66" s="7" t="str">
        <x:v>応用</x:v>
      </x:c>
      <x:c r="D66" s="7" t="str">
        <x:v>4択</x:v>
      </x:c>
      <x:c r="E66" s="7" t="str">
        <x:v>createdAtを端末時計ではなくFirestore側の時刻で保存したい。使う値は？</x:v>
      </x:c>
      <x:c r="F66" s="7" t="str">
        <x:v>{ createdAt: serverTimestamp() }</x:v>
      </x:c>
      <x:c r="G66" s="7" t="str">
        <x:v>serverTimestamp()</x:v>
      </x:c>
      <x:c r="H66" s="7" t="str">
        <x:v>Date.now()だけ</x:v>
      </x:c>
      <x:c r="I66" s="7" t="str">
        <x:v>Math.random()</x:v>
      </x:c>
      <x:c r="J66" s="7" t="str">
        <x:v>document.title</x:v>
      </x:c>
      <x:c r="K66" s="16" t="n">
        <x:v>1</x:v>
      </x:c>
      <x:c r="L66" s="7" t="str">
        <x:v>serverTimestamp()</x:v>
      </x:c>
      <x:c r="M66" s="7" t="str">
        <x:v>サーバー側で確定する時刻です。</x:v>
      </x:c>
      <x:c r="N66" s="7" t="str">
        <x:v>serverTimestamp()を使うとFirestoreサーバー基準の時刻を保存できます。複数端末で時刻ズレがある場合にも扱いやすくなります。</x:v>
      </x:c>
      <x:c r="O66" s="7" t="str">
        <x:v>全範囲</x:v>
      </x:c>
      <x:c r="P66" s="12" t="str">
        <x:v>Firestore,serverTimestamp,createdAt</x:v>
      </x:c>
    </x:row>
    <x:row r="67" ht="74" customHeight="1">
      <x:c r="A67" s="11" t="str">
        <x:v>FSQ-066</x:v>
      </x:c>
      <x:c r="B67" s="7" t="str">
        <x:v>タイムスタンプ</x:v>
      </x:c>
      <x:c r="C67" s="7" t="str">
        <x:v>初級</x:v>
      </x:c>
      <x:c r="D67" s="7" t="str">
        <x:v>4択</x:v>
      </x:c>
      <x:c r="E67" s="7" t="str">
        <x:v>updatedAtを端末時計ではなくFirestore側の時刻で保存したい。使う値は？</x:v>
      </x:c>
      <x:c r="F67" s="7" t="str">
        <x:v>{ updatedAt: serverTimestamp() }</x:v>
      </x:c>
      <x:c r="G67" s="7" t="str">
        <x:v>Date.now()だけ</x:v>
      </x:c>
      <x:c r="H67" s="7" t="str">
        <x:v>serverTimestamp()</x:v>
      </x:c>
      <x:c r="I67" s="7" t="str">
        <x:v>Math.random()</x:v>
      </x:c>
      <x:c r="J67" s="7" t="str">
        <x:v>document.title</x:v>
      </x:c>
      <x:c r="K67" s="16" t="n">
        <x:v>2</x:v>
      </x:c>
      <x:c r="L67" s="7" t="str">
        <x:v>serverTimestamp()</x:v>
      </x:c>
      <x:c r="M67" s="7" t="str">
        <x:v>サーバー側で確定する時刻です。</x:v>
      </x:c>
      <x:c r="N67" s="7" t="str">
        <x:v>serverTimestamp()を使うとFirestoreサーバー基準の時刻を保存できます。複数端末で時刻ズレがある場合にも扱いやすくなります。</x:v>
      </x:c>
      <x:c r="O67" s="7" t="str">
        <x:v>全範囲</x:v>
      </x:c>
      <x:c r="P67" s="12" t="str">
        <x:v>Firestore,serverTimestamp,updatedAt</x:v>
      </x:c>
    </x:row>
    <x:row r="68" ht="74" customHeight="1">
      <x:c r="A68" s="11" t="str">
        <x:v>FSQ-067</x:v>
      </x:c>
      <x:c r="B68" s="7" t="str">
        <x:v>タイムスタンプ</x:v>
      </x:c>
      <x:c r="C68" s="7" t="str">
        <x:v>初級</x:v>
      </x:c>
      <x:c r="D68" s="7" t="str">
        <x:v>4択</x:v>
      </x:c>
      <x:c r="E68" s="7" t="str">
        <x:v>startedAtを端末時計ではなくFirestore側の時刻で保存したい。使う値は？</x:v>
      </x:c>
      <x:c r="F68" s="7" t="str">
        <x:v>{ startedAt: serverTimestamp() }</x:v>
      </x:c>
      <x:c r="G68" s="7" t="str">
        <x:v>Date.now()だけ</x:v>
      </x:c>
      <x:c r="H68" s="7" t="str">
        <x:v>Math.random()</x:v>
      </x:c>
      <x:c r="I68" s="7" t="str">
        <x:v>serverTimestamp()</x:v>
      </x:c>
      <x:c r="J68" s="7" t="str">
        <x:v>document.title</x:v>
      </x:c>
      <x:c r="K68" s="16" t="n">
        <x:v>3</x:v>
      </x:c>
      <x:c r="L68" s="7" t="str">
        <x:v>serverTimestamp()</x:v>
      </x:c>
      <x:c r="M68" s="7" t="str">
        <x:v>サーバー側で確定する時刻です。</x:v>
      </x:c>
      <x:c r="N68" s="7" t="str">
        <x:v>serverTimestamp()を使うとFirestoreサーバー基準の時刻を保存できます。複数端末で時刻ズレがある場合にも扱いやすくなります。</x:v>
      </x:c>
      <x:c r="O68" s="7" t="str">
        <x:v>全範囲</x:v>
      </x:c>
      <x:c r="P68" s="12" t="str">
        <x:v>Firestore,serverTimestamp,startedAt</x:v>
      </x:c>
    </x:row>
    <x:row r="69" ht="74" customHeight="1">
      <x:c r="A69" s="11" t="str">
        <x:v>FSQ-068</x:v>
      </x:c>
      <x:c r="B69" s="7" t="str">
        <x:v>タイムスタンプ</x:v>
      </x:c>
      <x:c r="C69" s="7" t="str">
        <x:v>中級</x:v>
      </x:c>
      <x:c r="D69" s="7" t="str">
        <x:v>4択</x:v>
      </x:c>
      <x:c r="E69" s="7" t="str">
        <x:v>completedAtを端末時計ではなくFirestore側の時刻で保存したい。使う値は？</x:v>
      </x:c>
      <x:c r="F69" s="7" t="str">
        <x:v>{ completedAt: serverTimestamp() }</x:v>
      </x:c>
      <x:c r="G69" s="7" t="str">
        <x:v>Date.now()だけ</x:v>
      </x:c>
      <x:c r="H69" s="7" t="str">
        <x:v>Math.random()</x:v>
      </x:c>
      <x:c r="I69" s="7" t="str">
        <x:v>document.title</x:v>
      </x:c>
      <x:c r="J69" s="7" t="str">
        <x:v>serverTimestamp()</x:v>
      </x:c>
      <x:c r="K69" s="16" t="n">
        <x:v>4</x:v>
      </x:c>
      <x:c r="L69" s="7" t="str">
        <x:v>serverTimestamp()</x:v>
      </x:c>
      <x:c r="M69" s="7" t="str">
        <x:v>サーバー側で確定する時刻です。</x:v>
      </x:c>
      <x:c r="N69" s="7" t="str">
        <x:v>serverTimestamp()を使うとFirestoreサーバー基準の時刻を保存できます。複数端末で時刻ズレがある場合にも扱いやすくなります。</x:v>
      </x:c>
      <x:c r="O69" s="7" t="str">
        <x:v>全範囲</x:v>
      </x:c>
      <x:c r="P69" s="12" t="str">
        <x:v>Firestore,serverTimestamp,completedAt</x:v>
      </x:c>
    </x:row>
    <x:row r="70" ht="74" customHeight="1">
      <x:c r="A70" s="11" t="str">
        <x:v>FSQ-069</x:v>
      </x:c>
      <x:c r="B70" s="7" t="str">
        <x:v>タイムスタンプ</x:v>
      </x:c>
      <x:c r="C70" s="7" t="str">
        <x:v>中級</x:v>
      </x:c>
      <x:c r="D70" s="7" t="str">
        <x:v>4択</x:v>
      </x:c>
      <x:c r="E70" s="7" t="str">
        <x:v>cancelledAtを端末時計ではなくFirestore側の時刻で保存したい。使う値は？</x:v>
      </x:c>
      <x:c r="F70" s="7" t="str">
        <x:v>{ cancelledAt: serverTimestamp() }</x:v>
      </x:c>
      <x:c r="G70" s="7" t="str">
        <x:v>serverTimestamp()</x:v>
      </x:c>
      <x:c r="H70" s="7" t="str">
        <x:v>Date.now()だけ</x:v>
      </x:c>
      <x:c r="I70" s="7" t="str">
        <x:v>Math.random()</x:v>
      </x:c>
      <x:c r="J70" s="7" t="str">
        <x:v>document.title</x:v>
      </x:c>
      <x:c r="K70" s="16" t="n">
        <x:v>1</x:v>
      </x:c>
      <x:c r="L70" s="7" t="str">
        <x:v>serverTimestamp()</x:v>
      </x:c>
      <x:c r="M70" s="7" t="str">
        <x:v>サーバー側で確定する時刻です。</x:v>
      </x:c>
      <x:c r="N70" s="7" t="str">
        <x:v>serverTimestamp()を使うとFirestoreサーバー基準の時刻を保存できます。複数端末で時刻ズレがある場合にも扱いやすくなります。</x:v>
      </x:c>
      <x:c r="O70" s="7" t="str">
        <x:v>全範囲</x:v>
      </x:c>
      <x:c r="P70" s="12" t="str">
        <x:v>Firestore,serverTimestamp,cancelledAt</x:v>
      </x:c>
    </x:row>
    <x:row r="71" ht="74" customHeight="1">
      <x:c r="A71" s="11" t="str">
        <x:v>FSQ-070</x:v>
      </x:c>
      <x:c r="B71" s="7" t="str">
        <x:v>タイムスタンプ</x:v>
      </x:c>
      <x:c r="C71" s="7" t="str">
        <x:v>応用</x:v>
      </x:c>
      <x:c r="D71" s="7" t="str">
        <x:v>4択</x:v>
      </x:c>
      <x:c r="E71" s="7" t="str">
        <x:v>answeredAtを端末時計ではなくFirestore側の時刻で保存したい。使う値は？</x:v>
      </x:c>
      <x:c r="F71" s="7" t="str">
        <x:v>{ answeredAt: serverTimestamp() }</x:v>
      </x:c>
      <x:c r="G71" s="7" t="str">
        <x:v>Date.now()だけ</x:v>
      </x:c>
      <x:c r="H71" s="7" t="str">
        <x:v>serverTimestamp()</x:v>
      </x:c>
      <x:c r="I71" s="7" t="str">
        <x:v>Math.random()</x:v>
      </x:c>
      <x:c r="J71" s="7" t="str">
        <x:v>document.title</x:v>
      </x:c>
      <x:c r="K71" s="16" t="n">
        <x:v>2</x:v>
      </x:c>
      <x:c r="L71" s="7" t="str">
        <x:v>serverTimestamp()</x:v>
      </x:c>
      <x:c r="M71" s="7" t="str">
        <x:v>サーバー側で確定する時刻です。</x:v>
      </x:c>
      <x:c r="N71" s="7" t="str">
        <x:v>serverTimestamp()を使うとFirestoreサーバー基準の時刻を保存できます。複数端末で時刻ズレがある場合にも扱いやすくなります。</x:v>
      </x:c>
      <x:c r="O71" s="7" t="str">
        <x:v>全範囲</x:v>
      </x:c>
      <x:c r="P71" s="12" t="str">
        <x:v>Firestore,serverTimestamp,answeredAt</x:v>
      </x:c>
    </x:row>
    <x:row r="72" ht="74" customHeight="1">
      <x:c r="A72" s="11" t="str">
        <x:v>FSQ-071</x:v>
      </x:c>
      <x:c r="B72" s="7" t="str">
        <x:v>タイムスタンプ</x:v>
      </x:c>
      <x:c r="C72" s="7" t="str">
        <x:v>初級</x:v>
      </x:c>
      <x:c r="D72" s="7" t="str">
        <x:v>4択</x:v>
      </x:c>
      <x:c r="E72" s="7" t="str">
        <x:v>hiddenAtを端末時計ではなくFirestore側の時刻で保存したい。使う値は？</x:v>
      </x:c>
      <x:c r="F72" s="7" t="str">
        <x:v>{ hiddenAt: serverTimestamp() }</x:v>
      </x:c>
      <x:c r="G72" s="7" t="str">
        <x:v>Date.now()だけ</x:v>
      </x:c>
      <x:c r="H72" s="7" t="str">
        <x:v>Math.random()</x:v>
      </x:c>
      <x:c r="I72" s="7" t="str">
        <x:v>serverTimestamp()</x:v>
      </x:c>
      <x:c r="J72" s="7" t="str">
        <x:v>document.title</x:v>
      </x:c>
      <x:c r="K72" s="16" t="n">
        <x:v>3</x:v>
      </x:c>
      <x:c r="L72" s="7" t="str">
        <x:v>serverTimestamp()</x:v>
      </x:c>
      <x:c r="M72" s="7" t="str">
        <x:v>サーバー側で確定する時刻です。</x:v>
      </x:c>
      <x:c r="N72" s="7" t="str">
        <x:v>serverTimestamp()を使うとFirestoreサーバー基準の時刻を保存できます。複数端末で時刻ズレがある場合にも扱いやすくなります。</x:v>
      </x:c>
      <x:c r="O72" s="7" t="str">
        <x:v>全範囲</x:v>
      </x:c>
      <x:c r="P72" s="12" t="str">
        <x:v>Firestore,serverTimestamp,hiddenAt</x:v>
      </x:c>
    </x:row>
    <x:row r="73" ht="74" customHeight="1">
      <x:c r="A73" s="11" t="str">
        <x:v>FSQ-072</x:v>
      </x:c>
      <x:c r="B73" s="7" t="str">
        <x:v>タイムスタンプ</x:v>
      </x:c>
      <x:c r="C73" s="7" t="str">
        <x:v>初級</x:v>
      </x:c>
      <x:c r="D73" s="7" t="str">
        <x:v>4択</x:v>
      </x:c>
      <x:c r="E73" s="7" t="str">
        <x:v>lastLoginAtを端末時計ではなくFirestore側の時刻で保存したい。使う値は？</x:v>
      </x:c>
      <x:c r="F73" s="7" t="str">
        <x:v>{ lastLoginAt: serverTimestamp() }</x:v>
      </x:c>
      <x:c r="G73" s="7" t="str">
        <x:v>Date.now()だけ</x:v>
      </x:c>
      <x:c r="H73" s="7" t="str">
        <x:v>Math.random()</x:v>
      </x:c>
      <x:c r="I73" s="7" t="str">
        <x:v>document.title</x:v>
      </x:c>
      <x:c r="J73" s="7" t="str">
        <x:v>serverTimestamp()</x:v>
      </x:c>
      <x:c r="K73" s="16" t="n">
        <x:v>4</x:v>
      </x:c>
      <x:c r="L73" s="7" t="str">
        <x:v>serverTimestamp()</x:v>
      </x:c>
      <x:c r="M73" s="7" t="str">
        <x:v>サーバー側で確定する時刻です。</x:v>
      </x:c>
      <x:c r="N73" s="7" t="str">
        <x:v>serverTimestamp()を使うとFirestoreサーバー基準の時刻を保存できます。複数端末で時刻ズレがある場合にも扱いやすくなります。</x:v>
      </x:c>
      <x:c r="O73" s="7" t="str">
        <x:v>全範囲</x:v>
      </x:c>
      <x:c r="P73" s="12" t="str">
        <x:v>Firestore,serverTimestamp,lastLoginAt</x:v>
      </x:c>
    </x:row>
    <x:row r="74" ht="74" customHeight="1">
      <x:c r="A74" s="11" t="str">
        <x:v>FSQ-073</x:v>
      </x:c>
      <x:c r="B74" s="7" t="str">
        <x:v>リアルタイム監視</x:v>
      </x:c>
      <x:c r="C74" s="7" t="str">
        <x:v>中級</x:v>
      </x:c>
      <x:c r="D74" s="7" t="str">
        <x:v>4択</x:v>
      </x:c>
      <x:c r="E74" s="7" t="str">
        <x:v>KDS表示をFirestoreの変更に合わせて自動更新したい。向いているAPIは？</x:v>
      </x:c>
      <x:c r="F74" s="7" t="str">
        <x:v>const unsubscribe = onSnapshot(q, snapshot =&gt; { ... });</x:v>
      </x:c>
      <x:c r="G74" s="7" t="str">
        <x:v>onSnapshot</x:v>
      </x:c>
      <x:c r="H74" s="7" t="str">
        <x:v>getDocs</x:v>
      </x:c>
      <x:c r="I74" s="7" t="str">
        <x:v>deleteDoc</x:v>
      </x:c>
      <x:c r="J74" s="7" t="str">
        <x:v>parseInt</x:v>
      </x:c>
      <x:c r="K74" s="16" t="n">
        <x:v>1</x:v>
      </x:c>
      <x:c r="L74" s="7" t="str">
        <x:v>onSnapshot</x:v>
      </x:c>
      <x:c r="M74" s="7" t="str">
        <x:v>変更を購読するAPIです。</x:v>
      </x:c>
      <x:c r="N74" s="7" t="str">
        <x:v>onSnapshotは初回取得に加えて、その後の追加・変更・削除をリアルタイムに受け取れます。</x:v>
      </x:c>
      <x:c r="O74" s="7" t="str">
        <x:v>全範囲</x:v>
      </x:c>
      <x:c r="P74" s="12" t="str">
        <x:v>Firestore,onSnapshot,KDS表示</x:v>
      </x:c>
    </x:row>
    <x:row r="75" ht="74" customHeight="1">
      <x:c r="A75" s="11" t="str">
        <x:v>FSQ-074</x:v>
      </x:c>
      <x:c r="B75" s="7" t="str">
        <x:v>リアルタイム監視</x:v>
      </x:c>
      <x:c r="C75" s="7" t="str">
        <x:v>中級</x:v>
      </x:c>
      <x:c r="D75" s="7" t="str">
        <x:v>4択</x:v>
      </x:c>
      <x:c r="E75" s="7" t="str">
        <x:v>注文一覧をFirestoreの変更に合わせて自動更新したい。向いているAPIは？</x:v>
      </x:c>
      <x:c r="F75" s="7" t="str">
        <x:v>const unsubscribe = onSnapshot(q, snapshot =&gt; { ... });</x:v>
      </x:c>
      <x:c r="G75" s="7" t="str">
        <x:v>getDocs</x:v>
      </x:c>
      <x:c r="H75" s="7" t="str">
        <x:v>onSnapshot</x:v>
      </x:c>
      <x:c r="I75" s="7" t="str">
        <x:v>deleteDoc</x:v>
      </x:c>
      <x:c r="J75" s="7" t="str">
        <x:v>parseInt</x:v>
      </x:c>
      <x:c r="K75" s="16" t="n">
        <x:v>2</x:v>
      </x:c>
      <x:c r="L75" s="7" t="str">
        <x:v>onSnapshot</x:v>
      </x:c>
      <x:c r="M75" s="7" t="str">
        <x:v>変更を購読するAPIです。</x:v>
      </x:c>
      <x:c r="N75" s="7" t="str">
        <x:v>onSnapshotは初回取得に加えて、その後の追加・変更・削除をリアルタイムに受け取れます。</x:v>
      </x:c>
      <x:c r="O75" s="7" t="str">
        <x:v>全範囲</x:v>
      </x:c>
      <x:c r="P75" s="12" t="str">
        <x:v>Firestore,onSnapshot,注文一覧</x:v>
      </x:c>
    </x:row>
    <x:row r="76" ht="74" customHeight="1">
      <x:c r="A76" s="11" t="str">
        <x:v>FSQ-075</x:v>
      </x:c>
      <x:c r="B76" s="7" t="str">
        <x:v>リアルタイム監視</x:v>
      </x:c>
      <x:c r="C76" s="7" t="str">
        <x:v>応用</x:v>
      </x:c>
      <x:c r="D76" s="7" t="str">
        <x:v>4択</x:v>
      </x:c>
      <x:c r="E76" s="7" t="str">
        <x:v>学習ログ一覧をFirestoreの変更に合わせて自動更新したい。向いているAPIは？</x:v>
      </x:c>
      <x:c r="F76" s="7" t="str">
        <x:v>const unsubscribe = onSnapshot(q, snapshot =&gt; { ... });</x:v>
      </x:c>
      <x:c r="G76" s="7" t="str">
        <x:v>getDocs</x:v>
      </x:c>
      <x:c r="H76" s="7" t="str">
        <x:v>deleteDoc</x:v>
      </x:c>
      <x:c r="I76" s="7" t="str">
        <x:v>onSnapshot</x:v>
      </x:c>
      <x:c r="J76" s="7" t="str">
        <x:v>parseInt</x:v>
      </x:c>
      <x:c r="K76" s="16" t="n">
        <x:v>3</x:v>
      </x:c>
      <x:c r="L76" s="7" t="str">
        <x:v>onSnapshot</x:v>
      </x:c>
      <x:c r="M76" s="7" t="str">
        <x:v>変更を購読するAPIです。</x:v>
      </x:c>
      <x:c r="N76" s="7" t="str">
        <x:v>onSnapshotは初回取得に加えて、その後の追加・変更・削除をリアルタイムに受け取れます。</x:v>
      </x:c>
      <x:c r="O76" s="7" t="str">
        <x:v>全範囲</x:v>
      </x:c>
      <x:c r="P76" s="12" t="str">
        <x:v>Firestore,onSnapshot,学習ログ一覧</x:v>
      </x:c>
    </x:row>
    <x:row r="77" ht="74" customHeight="1">
      <x:c r="A77" s="11" t="str">
        <x:v>FSQ-076</x:v>
      </x:c>
      <x:c r="B77" s="7" t="str">
        <x:v>リアルタイム監視</x:v>
      </x:c>
      <x:c r="C77" s="7" t="str">
        <x:v>初級</x:v>
      </x:c>
      <x:c r="D77" s="7" t="str">
        <x:v>4択</x:v>
      </x:c>
      <x:c r="E77" s="7" t="str">
        <x:v>提供待ち一覧をFirestoreの変更に合わせて自動更新したい。向いているAPIは？</x:v>
      </x:c>
      <x:c r="F77" s="7" t="str">
        <x:v>const unsubscribe = onSnapshot(q, snapshot =&gt; { ... });</x:v>
      </x:c>
      <x:c r="G77" s="7" t="str">
        <x:v>getDocs</x:v>
      </x:c>
      <x:c r="H77" s="7" t="str">
        <x:v>deleteDoc</x:v>
      </x:c>
      <x:c r="I77" s="7" t="str">
        <x:v>parseInt</x:v>
      </x:c>
      <x:c r="J77" s="7" t="str">
        <x:v>onSnapshot</x:v>
      </x:c>
      <x:c r="K77" s="16" t="n">
        <x:v>4</x:v>
      </x:c>
      <x:c r="L77" s="7" t="str">
        <x:v>onSnapshot</x:v>
      </x:c>
      <x:c r="M77" s="7" t="str">
        <x:v>変更を購読するAPIです。</x:v>
      </x:c>
      <x:c r="N77" s="7" t="str">
        <x:v>onSnapshotは初回取得に加えて、その後の追加・変更・削除をリアルタイムに受け取れます。</x:v>
      </x:c>
      <x:c r="O77" s="7" t="str">
        <x:v>全範囲</x:v>
      </x:c>
      <x:c r="P77" s="12" t="str">
        <x:v>Firestore,onSnapshot,提供待ち一覧</x:v>
      </x:c>
    </x:row>
    <x:row r="78" ht="74" customHeight="1">
      <x:c r="A78" s="11" t="str">
        <x:v>FSQ-077</x:v>
      </x:c>
      <x:c r="B78" s="7" t="str">
        <x:v>リアルタイム監視</x:v>
      </x:c>
      <x:c r="C78" s="7" t="str">
        <x:v>初級</x:v>
      </x:c>
      <x:c r="D78" s="7" t="str">
        <x:v>4択</x:v>
      </x:c>
      <x:c r="E78" s="7" t="str">
        <x:v>調理中一覧をFirestoreの変更に合わせて自動更新したい。向いているAPIは？</x:v>
      </x:c>
      <x:c r="F78" s="7" t="str">
        <x:v>const unsubscribe = onSnapshot(q, snapshot =&gt; { ... });</x:v>
      </x:c>
      <x:c r="G78" s="7" t="str">
        <x:v>onSnapshot</x:v>
      </x:c>
      <x:c r="H78" s="7" t="str">
        <x:v>getDocs</x:v>
      </x:c>
      <x:c r="I78" s="7" t="str">
        <x:v>deleteDoc</x:v>
      </x:c>
      <x:c r="J78" s="7" t="str">
        <x:v>parseInt</x:v>
      </x:c>
      <x:c r="K78" s="16" t="n">
        <x:v>1</x:v>
      </x:c>
      <x:c r="L78" s="7" t="str">
        <x:v>onSnapshot</x:v>
      </x:c>
      <x:c r="M78" s="7" t="str">
        <x:v>変更を購読するAPIです。</x:v>
      </x:c>
      <x:c r="N78" s="7" t="str">
        <x:v>onSnapshotは初回取得に加えて、その後の追加・変更・削除をリアルタイムに受け取れます。</x:v>
      </x:c>
      <x:c r="O78" s="7" t="str">
        <x:v>全範囲</x:v>
      </x:c>
      <x:c r="P78" s="12" t="str">
        <x:v>Firestore,onSnapshot,調理中一覧</x:v>
      </x:c>
    </x:row>
    <x:row r="79" ht="74" customHeight="1">
      <x:c r="A79" s="11" t="str">
        <x:v>FSQ-078</x:v>
      </x:c>
      <x:c r="B79" s="7" t="str">
        <x:v>リアルタイム監視</x:v>
      </x:c>
      <x:c r="C79" s="7" t="str">
        <x:v>中級</x:v>
      </x:c>
      <x:c r="D79" s="7" t="str">
        <x:v>4択</x:v>
      </x:c>
      <x:c r="E79" s="7" t="str">
        <x:v>ユーザー別進捗をFirestoreの変更に合わせて自動更新したい。向いているAPIは？</x:v>
      </x:c>
      <x:c r="F79" s="7" t="str">
        <x:v>const unsubscribe = onSnapshot(q, snapshot =&gt; { ... });</x:v>
      </x:c>
      <x:c r="G79" s="7" t="str">
        <x:v>getDocs</x:v>
      </x:c>
      <x:c r="H79" s="7" t="str">
        <x:v>onSnapshot</x:v>
      </x:c>
      <x:c r="I79" s="7" t="str">
        <x:v>deleteDoc</x:v>
      </x:c>
      <x:c r="J79" s="7" t="str">
        <x:v>parseInt</x:v>
      </x:c>
      <x:c r="K79" s="16" t="n">
        <x:v>2</x:v>
      </x:c>
      <x:c r="L79" s="7" t="str">
        <x:v>onSnapshot</x:v>
      </x:c>
      <x:c r="M79" s="7" t="str">
        <x:v>変更を購読するAPIです。</x:v>
      </x:c>
      <x:c r="N79" s="7" t="str">
        <x:v>onSnapshotは初回取得に加えて、その後の追加・変更・削除をリアルタイムに受け取れます。</x:v>
      </x:c>
      <x:c r="O79" s="7" t="str">
        <x:v>全範囲</x:v>
      </x:c>
      <x:c r="P79" s="12" t="str">
        <x:v>Firestore,onSnapshot,ユーザー別進捗</x:v>
      </x:c>
    </x:row>
    <x:row r="80" ht="74" customHeight="1">
      <x:c r="A80" s="11" t="str">
        <x:v>FSQ-079</x:v>
      </x:c>
      <x:c r="B80" s="7" t="str">
        <x:v>リアルタイム監視</x:v>
      </x:c>
      <x:c r="C80" s="7" t="str">
        <x:v>中級</x:v>
      </x:c>
      <x:c r="D80" s="7" t="str">
        <x:v>4択</x:v>
      </x:c>
      <x:c r="E80" s="7" t="str">
        <x:v>問題マスタをFirestoreの変更に合わせて自動更新したい。向いているAPIは？</x:v>
      </x:c>
      <x:c r="F80" s="7" t="str">
        <x:v>const unsubscribe = onSnapshot(q, snapshot =&gt; { ... });</x:v>
      </x:c>
      <x:c r="G80" s="7" t="str">
        <x:v>getDocs</x:v>
      </x:c>
      <x:c r="H80" s="7" t="str">
        <x:v>deleteDoc</x:v>
      </x:c>
      <x:c r="I80" s="7" t="str">
        <x:v>onSnapshot</x:v>
      </x:c>
      <x:c r="J80" s="7" t="str">
        <x:v>parseInt</x:v>
      </x:c>
      <x:c r="K80" s="16" t="n">
        <x:v>3</x:v>
      </x:c>
      <x:c r="L80" s="7" t="str">
        <x:v>onSnapshot</x:v>
      </x:c>
      <x:c r="M80" s="7" t="str">
        <x:v>変更を購読するAPIです。</x:v>
      </x:c>
      <x:c r="N80" s="7" t="str">
        <x:v>onSnapshotは初回取得に加えて、その後の追加・変更・削除をリアルタイムに受け取れます。</x:v>
      </x:c>
      <x:c r="O80" s="7" t="str">
        <x:v>全範囲</x:v>
      </x:c>
      <x:c r="P80" s="12" t="str">
        <x:v>Firestore,onSnapshot,問題マスタ</x:v>
      </x:c>
    </x:row>
    <x:row r="81" ht="74" customHeight="1">
      <x:c r="A81" s="11" t="str">
        <x:v>FSQ-080</x:v>
      </x:c>
      <x:c r="B81" s="7" t="str">
        <x:v>リアルタイム監視</x:v>
      </x:c>
      <x:c r="C81" s="7" t="str">
        <x:v>応用</x:v>
      </x:c>
      <x:c r="D81" s="7" t="str">
        <x:v>4択</x:v>
      </x:c>
      <x:c r="E81" s="7" t="str">
        <x:v>設定変更をFirestoreの変更に合わせて自動更新したい。向いているAPIは？</x:v>
      </x:c>
      <x:c r="F81" s="7" t="str">
        <x:v>const unsubscribe = onSnapshot(q, snapshot =&gt; { ... });</x:v>
      </x:c>
      <x:c r="G81" s="7" t="str">
        <x:v>getDocs</x:v>
      </x:c>
      <x:c r="H81" s="7" t="str">
        <x:v>deleteDoc</x:v>
      </x:c>
      <x:c r="I81" s="7" t="str">
        <x:v>parseInt</x:v>
      </x:c>
      <x:c r="J81" s="7" t="str">
        <x:v>onSnapshot</x:v>
      </x:c>
      <x:c r="K81" s="16" t="n">
        <x:v>4</x:v>
      </x:c>
      <x:c r="L81" s="7" t="str">
        <x:v>onSnapshot</x:v>
      </x:c>
      <x:c r="M81" s="7" t="str">
        <x:v>変更を購読するAPIです。</x:v>
      </x:c>
      <x:c r="N81" s="7" t="str">
        <x:v>onSnapshotは初回取得に加えて、その後の追加・変更・削除をリアルタイムに受け取れます。</x:v>
      </x:c>
      <x:c r="O81" s="7" t="str">
        <x:v>全範囲</x:v>
      </x:c>
      <x:c r="P81" s="12" t="str">
        <x:v>Firestore,onSnapshot,設定変更</x:v>
      </x:c>
    </x:row>
    <x:row r="82" ht="74" customHeight="1">
      <x:c r="A82" s="11" t="str">
        <x:v>FSQ-081</x:v>
      </x:c>
      <x:c r="B82" s="7" t="str">
        <x:v>配列操作</x:v>
      </x:c>
      <x:c r="C82" s="7" t="str">
        <x:v>初級</x:v>
      </x:c>
      <x:c r="D82" s="7" t="str">
        <x:v>4択</x:v>
      </x:c>
      <x:c r="E82" s="7" t="str">
        <x:v>items配列へ値を追加し、重複追加を避けたい。Firestoreで使える操作は？</x:v>
      </x:c>
      <x:c r="F82" s="7" t="str">
        <x:v>await updateDoc(ref, { items: arrayUnion(value) });</x:v>
      </x:c>
      <x:c r="G82" s="7" t="str">
        <x:v>arrayUnion</x:v>
      </x:c>
      <x:c r="H82" s="7" t="str">
        <x:v>arrayRemove</x:v>
      </x:c>
      <x:c r="I82" s="7" t="str">
        <x:v>serverTimestamp</x:v>
      </x:c>
      <x:c r="J82" s="7" t="str">
        <x:v>orderBy</x:v>
      </x:c>
      <x:c r="K82" s="16" t="n">
        <x:v>1</x:v>
      </x:c>
      <x:c r="L82" s="7" t="str">
        <x:v>arrayUnion</x:v>
      </x:c>
      <x:c r="M82" s="7" t="str">
        <x:v>配列に値を追加する専用操作です。</x:v>
      </x:c>
      <x:c r="N82" s="7" t="str">
        <x:v>arrayUnionは配列に値を追加し、同じ値が既にある場合は重複追加しません。削除にはarrayRemoveを使います。</x:v>
      </x:c>
      <x:c r="O82" s="7" t="str">
        <x:v>全範囲</x:v>
      </x:c>
      <x:c r="P82" s="12" t="str">
        <x:v>Firestore,arrayUnion,items</x:v>
      </x:c>
    </x:row>
    <x:row r="83" ht="74" customHeight="1">
      <x:c r="A83" s="11" t="str">
        <x:v>FSQ-082</x:v>
      </x:c>
      <x:c r="B83" s="7" t="str">
        <x:v>配列操作</x:v>
      </x:c>
      <x:c r="C83" s="7" t="str">
        <x:v>初級</x:v>
      </x:c>
      <x:c r="D83" s="7" t="str">
        <x:v>4択</x:v>
      </x:c>
      <x:c r="E83" s="7" t="str">
        <x:v>tags配列へ値を追加し、重複追加を避けたい。Firestoreで使える操作は？</x:v>
      </x:c>
      <x:c r="F83" s="7" t="str">
        <x:v>await updateDoc(ref, { tags: arrayUnion(value) });</x:v>
      </x:c>
      <x:c r="G83" s="7" t="str">
        <x:v>arrayRemove</x:v>
      </x:c>
      <x:c r="H83" s="7" t="str">
        <x:v>arrayUnion</x:v>
      </x:c>
      <x:c r="I83" s="7" t="str">
        <x:v>serverTimestamp</x:v>
      </x:c>
      <x:c r="J83" s="7" t="str">
        <x:v>orderBy</x:v>
      </x:c>
      <x:c r="K83" s="16" t="n">
        <x:v>2</x:v>
      </x:c>
      <x:c r="L83" s="7" t="str">
        <x:v>arrayUnion</x:v>
      </x:c>
      <x:c r="M83" s="7" t="str">
        <x:v>配列に値を追加する専用操作です。</x:v>
      </x:c>
      <x:c r="N83" s="7" t="str">
        <x:v>arrayUnionは配列に値を追加し、同じ値が既にある場合は重複追加しません。削除にはarrayRemoveを使います。</x:v>
      </x:c>
      <x:c r="O83" s="7" t="str">
        <x:v>全範囲</x:v>
      </x:c>
      <x:c r="P83" s="12" t="str">
        <x:v>Firestore,arrayUnion,tags</x:v>
      </x:c>
    </x:row>
    <x:row r="84" ht="74" customHeight="1">
      <x:c r="A84" s="11" t="str">
        <x:v>FSQ-083</x:v>
      </x:c>
      <x:c r="B84" s="7" t="str">
        <x:v>配列操作</x:v>
      </x:c>
      <x:c r="C84" s="7" t="str">
        <x:v>中級</x:v>
      </x:c>
      <x:c r="D84" s="7" t="str">
        <x:v>4択</x:v>
      </x:c>
      <x:c r="E84" s="7" t="str">
        <x:v>allergies配列へ値を追加し、重複追加を避けたい。Firestoreで使える操作は？</x:v>
      </x:c>
      <x:c r="F84" s="7" t="str">
        <x:v>await updateDoc(ref, { allergies: arrayUnion(value) });</x:v>
      </x:c>
      <x:c r="G84" s="7" t="str">
        <x:v>arrayRemove</x:v>
      </x:c>
      <x:c r="H84" s="7" t="str">
        <x:v>serverTimestamp</x:v>
      </x:c>
      <x:c r="I84" s="7" t="str">
        <x:v>arrayUnion</x:v>
      </x:c>
      <x:c r="J84" s="7" t="str">
        <x:v>orderBy</x:v>
      </x:c>
      <x:c r="K84" s="16" t="n">
        <x:v>3</x:v>
      </x:c>
      <x:c r="L84" s="7" t="str">
        <x:v>arrayUnion</x:v>
      </x:c>
      <x:c r="M84" s="7" t="str">
        <x:v>配列に値を追加する専用操作です。</x:v>
      </x:c>
      <x:c r="N84" s="7" t="str">
        <x:v>arrayUnionは配列に値を追加し、同じ値が既にある場合は重複追加しません。削除にはarrayRemoveを使います。</x:v>
      </x:c>
      <x:c r="O84" s="7" t="str">
        <x:v>全範囲</x:v>
      </x:c>
      <x:c r="P84" s="12" t="str">
        <x:v>Firestore,arrayUnion,allergies</x:v>
      </x:c>
    </x:row>
    <x:row r="85" ht="74" customHeight="1">
      <x:c r="A85" s="11" t="str">
        <x:v>FSQ-084</x:v>
      </x:c>
      <x:c r="B85" s="7" t="str">
        <x:v>配列操作</x:v>
      </x:c>
      <x:c r="C85" s="7" t="str">
        <x:v>中級</x:v>
      </x:c>
      <x:c r="D85" s="7" t="str">
        <x:v>4択</x:v>
      </x:c>
      <x:c r="E85" s="7" t="str">
        <x:v>selectedOptions配列へ値を追加し、重複追加を避けたい。Firestoreで使える操作は？</x:v>
      </x:c>
      <x:c r="F85" s="7" t="str">
        <x:v>await updateDoc(ref, { selectedOptions: arrayUnion(value) });</x:v>
      </x:c>
      <x:c r="G85" s="7" t="str">
        <x:v>arrayRemove</x:v>
      </x:c>
      <x:c r="H85" s="7" t="str">
        <x:v>serverTimestamp</x:v>
      </x:c>
      <x:c r="I85" s="7" t="str">
        <x:v>orderBy</x:v>
      </x:c>
      <x:c r="J85" s="7" t="str">
        <x:v>arrayUnion</x:v>
      </x:c>
      <x:c r="K85" s="16" t="n">
        <x:v>4</x:v>
      </x:c>
      <x:c r="L85" s="7" t="str">
        <x:v>arrayUnion</x:v>
      </x:c>
      <x:c r="M85" s="7" t="str">
        <x:v>配列に値を追加する専用操作です。</x:v>
      </x:c>
      <x:c r="N85" s="7" t="str">
        <x:v>arrayUnionは配列に値を追加し、同じ値が既にある場合は重複追加しません。削除にはarrayRemoveを使います。</x:v>
      </x:c>
      <x:c r="O85" s="7" t="str">
        <x:v>全範囲</x:v>
      </x:c>
      <x:c r="P85" s="12" t="str">
        <x:v>Firestore,arrayUnion,selectedOptions</x:v>
      </x:c>
    </x:row>
    <x:row r="86" ht="74" customHeight="1">
      <x:c r="A86" s="11" t="str">
        <x:v>FSQ-085</x:v>
      </x:c>
      <x:c r="B86" s="7" t="str">
        <x:v>配列操作</x:v>
      </x:c>
      <x:c r="C86" s="7" t="str">
        <x:v>応用</x:v>
      </x:c>
      <x:c r="D86" s="7" t="str">
        <x:v>4択</x:v>
      </x:c>
      <x:c r="E86" s="7" t="str">
        <x:v>wrongQuestionIds配列へ値を追加し、重複追加を避けたい。Firestoreで使える操作は？</x:v>
      </x:c>
      <x:c r="F86" s="7" t="str">
        <x:v>await updateDoc(ref, { wrongQuestionIds: arrayUnion(value) });</x:v>
      </x:c>
      <x:c r="G86" s="7" t="str">
        <x:v>arrayUnion</x:v>
      </x:c>
      <x:c r="H86" s="7" t="str">
        <x:v>arrayRemove</x:v>
      </x:c>
      <x:c r="I86" s="7" t="str">
        <x:v>serverTimestamp</x:v>
      </x:c>
      <x:c r="J86" s="7" t="str">
        <x:v>orderBy</x:v>
      </x:c>
      <x:c r="K86" s="16" t="n">
        <x:v>1</x:v>
      </x:c>
      <x:c r="L86" s="7" t="str">
        <x:v>arrayUnion</x:v>
      </x:c>
      <x:c r="M86" s="7" t="str">
        <x:v>配列に値を追加する専用操作です。</x:v>
      </x:c>
      <x:c r="N86" s="7" t="str">
        <x:v>arrayUnionは配列に値を追加し、同じ値が既にある場合は重複追加しません。削除にはarrayRemoveを使います。</x:v>
      </x:c>
      <x:c r="O86" s="7" t="str">
        <x:v>全範囲</x:v>
      </x:c>
      <x:c r="P86" s="12" t="str">
        <x:v>Firestore,arrayUnion,wrongQuestionIds</x:v>
      </x:c>
    </x:row>
    <x:row r="87" ht="74" customHeight="1">
      <x:c r="A87" s="11" t="str">
        <x:v>FSQ-086</x:v>
      </x:c>
      <x:c r="B87" s="7" t="str">
        <x:v>配列操作</x:v>
      </x:c>
      <x:c r="C87" s="7" t="str">
        <x:v>初級</x:v>
      </x:c>
      <x:c r="D87" s="7" t="str">
        <x:v>4択</x:v>
      </x:c>
      <x:c r="E87" s="7" t="str">
        <x:v>completedItemIds配列へ値を追加し、重複追加を避けたい。Firestoreで使える操作は？</x:v>
      </x:c>
      <x:c r="F87" s="7" t="str">
        <x:v>await updateDoc(ref, { completedItemIds: arrayUnion(value) });</x:v>
      </x:c>
      <x:c r="G87" s="7" t="str">
        <x:v>arrayRemove</x:v>
      </x:c>
      <x:c r="H87" s="7" t="str">
        <x:v>arrayUnion</x:v>
      </x:c>
      <x:c r="I87" s="7" t="str">
        <x:v>serverTimestamp</x:v>
      </x:c>
      <x:c r="J87" s="7" t="str">
        <x:v>orderBy</x:v>
      </x:c>
      <x:c r="K87" s="16" t="n">
        <x:v>2</x:v>
      </x:c>
      <x:c r="L87" s="7" t="str">
        <x:v>arrayUnion</x:v>
      </x:c>
      <x:c r="M87" s="7" t="str">
        <x:v>配列に値を追加する専用操作です。</x:v>
      </x:c>
      <x:c r="N87" s="7" t="str">
        <x:v>arrayUnionは配列に値を追加し、同じ値が既にある場合は重複追加しません。削除にはarrayRemoveを使います。</x:v>
      </x:c>
      <x:c r="O87" s="7" t="str">
        <x:v>全範囲</x:v>
      </x:c>
      <x:c r="P87" s="12" t="str">
        <x:v>Firestore,arrayUnion,completedItemIds</x:v>
      </x:c>
    </x:row>
    <x:row r="88" ht="74" customHeight="1">
      <x:c r="A88" s="11" t="str">
        <x:v>FSQ-087</x:v>
      </x:c>
      <x:c r="B88" s="7" t="str">
        <x:v>配列操作</x:v>
      </x:c>
      <x:c r="C88" s="7" t="str">
        <x:v>初級</x:v>
      </x:c>
      <x:c r="D88" s="7" t="str">
        <x:v>4択</x:v>
      </x:c>
      <x:c r="E88" s="7" t="str">
        <x:v>staffCodes配列へ値を追加し、重複追加を避けたい。Firestoreで使える操作は？</x:v>
      </x:c>
      <x:c r="F88" s="7" t="str">
        <x:v>await updateDoc(ref, { staffCodes: arrayUnion(value) });</x:v>
      </x:c>
      <x:c r="G88" s="7" t="str">
        <x:v>arrayRemove</x:v>
      </x:c>
      <x:c r="H88" s="7" t="str">
        <x:v>serverTimestamp</x:v>
      </x:c>
      <x:c r="I88" s="7" t="str">
        <x:v>arrayUnion</x:v>
      </x:c>
      <x:c r="J88" s="7" t="str">
        <x:v>orderBy</x:v>
      </x:c>
      <x:c r="K88" s="16" t="n">
        <x:v>3</x:v>
      </x:c>
      <x:c r="L88" s="7" t="str">
        <x:v>arrayUnion</x:v>
      </x:c>
      <x:c r="M88" s="7" t="str">
        <x:v>配列に値を追加する専用操作です。</x:v>
      </x:c>
      <x:c r="N88" s="7" t="str">
        <x:v>arrayUnionは配列に値を追加し、同じ値が既にある場合は重複追加しません。削除にはarrayRemoveを使います。</x:v>
      </x:c>
      <x:c r="O88" s="7" t="str">
        <x:v>全範囲</x:v>
      </x:c>
      <x:c r="P88" s="12" t="str">
        <x:v>Firestore,arrayUnion,staffCodes</x:v>
      </x:c>
    </x:row>
    <x:row r="89" ht="74" customHeight="1">
      <x:c r="A89" s="11" t="str">
        <x:v>FSQ-088</x:v>
      </x:c>
      <x:c r="B89" s="7" t="str">
        <x:v>配列操作</x:v>
      </x:c>
      <x:c r="C89" s="7" t="str">
        <x:v>中級</x:v>
      </x:c>
      <x:c r="D89" s="7" t="str">
        <x:v>4択</x:v>
      </x:c>
      <x:c r="E89" s="7" t="str">
        <x:v>menuIds配列へ値を追加し、重複追加を避けたい。Firestoreで使える操作は？</x:v>
      </x:c>
      <x:c r="F89" s="7" t="str">
        <x:v>await updateDoc(ref, { menuIds: arrayUnion(value) });</x:v>
      </x:c>
      <x:c r="G89" s="7" t="str">
        <x:v>arrayRemove</x:v>
      </x:c>
      <x:c r="H89" s="7" t="str">
        <x:v>serverTimestamp</x:v>
      </x:c>
      <x:c r="I89" s="7" t="str">
        <x:v>orderBy</x:v>
      </x:c>
      <x:c r="J89" s="7" t="str">
        <x:v>arrayUnion</x:v>
      </x:c>
      <x:c r="K89" s="16" t="n">
        <x:v>4</x:v>
      </x:c>
      <x:c r="L89" s="7" t="str">
        <x:v>arrayUnion</x:v>
      </x:c>
      <x:c r="M89" s="7" t="str">
        <x:v>配列に値を追加する専用操作です。</x:v>
      </x:c>
      <x:c r="N89" s="7" t="str">
        <x:v>arrayUnionは配列に値を追加し、同じ値が既にある場合は重複追加しません。削除にはarrayRemoveを使います。</x:v>
      </x:c>
      <x:c r="O89" s="7" t="str">
        <x:v>全範囲</x:v>
      </x:c>
      <x:c r="P89" s="12" t="str">
        <x:v>Firestore,arrayUnion,menuIds</x:v>
      </x:c>
    </x:row>
    <x:row r="90" ht="74" customHeight="1">
      <x:c r="A90" s="11" t="str">
        <x:v>FSQ-089</x:v>
      </x:c>
      <x:c r="B90" s="7" t="str">
        <x:v>配列操作</x:v>
      </x:c>
      <x:c r="C90" s="7" t="str">
        <x:v>中級</x:v>
      </x:c>
      <x:c r="D90" s="7" t="str">
        <x:v>4択</x:v>
      </x:c>
      <x:c r="E90" s="7" t="str">
        <x:v>items配列から特定の値を削除したい。Firestoreで使える操作は？</x:v>
      </x:c>
      <x:c r="F90" s="7" t="str">
        <x:v>await updateDoc(ref, { items: arrayRemove(value) });</x:v>
      </x:c>
      <x:c r="G90" s="7" t="str">
        <x:v>arrayRemove</x:v>
      </x:c>
      <x:c r="H90" s="7" t="str">
        <x:v>arrayUnion</x:v>
      </x:c>
      <x:c r="I90" s="7" t="str">
        <x:v>limit</x:v>
      </x:c>
      <x:c r="J90" s="7" t="str">
        <x:v>collection</x:v>
      </x:c>
      <x:c r="K90" s="16" t="n">
        <x:v>1</x:v>
      </x:c>
      <x:c r="L90" s="7" t="str">
        <x:v>arrayRemove</x:v>
      </x:c>
      <x:c r="M90" s="7" t="str">
        <x:v>配列から値を取り除く専用操作です。</x:v>
      </x:c>
      <x:c r="N90" s="7" t="str">
        <x:v>arrayRemoveは配列内の一致する値を削除します。商品明細のようにオブジェクト配列を細かく扱う場合は、配列再作成やサブコレクションも検討します。</x:v>
      </x:c>
      <x:c r="O90" s="7" t="str">
        <x:v>全範囲</x:v>
      </x:c>
      <x:c r="P90" s="12" t="str">
        <x:v>Firestore,arrayRemove,items</x:v>
      </x:c>
    </x:row>
    <x:row r="91" ht="74" customHeight="1">
      <x:c r="A91" s="11" t="str">
        <x:v>FSQ-090</x:v>
      </x:c>
      <x:c r="B91" s="7" t="str">
        <x:v>配列操作</x:v>
      </x:c>
      <x:c r="C91" s="7" t="str">
        <x:v>応用</x:v>
      </x:c>
      <x:c r="D91" s="7" t="str">
        <x:v>4択</x:v>
      </x:c>
      <x:c r="E91" s="7" t="str">
        <x:v>tags配列から特定の値を削除したい。Firestoreで使える操作は？</x:v>
      </x:c>
      <x:c r="F91" s="7" t="str">
        <x:v>await updateDoc(ref, { tags: arrayRemove(value) });</x:v>
      </x:c>
      <x:c r="G91" s="7" t="str">
        <x:v>arrayUnion</x:v>
      </x:c>
      <x:c r="H91" s="7" t="str">
        <x:v>arrayRemove</x:v>
      </x:c>
      <x:c r="I91" s="7" t="str">
        <x:v>limit</x:v>
      </x:c>
      <x:c r="J91" s="7" t="str">
        <x:v>collection</x:v>
      </x:c>
      <x:c r="K91" s="16" t="n">
        <x:v>2</x:v>
      </x:c>
      <x:c r="L91" s="7" t="str">
        <x:v>arrayRemove</x:v>
      </x:c>
      <x:c r="M91" s="7" t="str">
        <x:v>配列から値を取り除く専用操作です。</x:v>
      </x:c>
      <x:c r="N91" s="7" t="str">
        <x:v>arrayRemoveは配列内の一致する値を削除します。商品明細のようにオブジェクト配列を細かく扱う場合は、配列再作成やサブコレクションも検討します。</x:v>
      </x:c>
      <x:c r="O91" s="7" t="str">
        <x:v>全範囲</x:v>
      </x:c>
      <x:c r="P91" s="12" t="str">
        <x:v>Firestore,arrayRemove,tags</x:v>
      </x:c>
    </x:row>
    <x:row r="92" ht="74" customHeight="1">
      <x:c r="A92" s="11" t="str">
        <x:v>FSQ-091</x:v>
      </x:c>
      <x:c r="B92" s="7" t="str">
        <x:v>配列操作</x:v>
      </x:c>
      <x:c r="C92" s="7" t="str">
        <x:v>初級</x:v>
      </x:c>
      <x:c r="D92" s="7" t="str">
        <x:v>4択</x:v>
      </x:c>
      <x:c r="E92" s="7" t="str">
        <x:v>allergies配列から特定の値を削除したい。Firestoreで使える操作は？</x:v>
      </x:c>
      <x:c r="F92" s="7" t="str">
        <x:v>await updateDoc(ref, { allergies: arrayRemove(value) });</x:v>
      </x:c>
      <x:c r="G92" s="7" t="str">
        <x:v>arrayUnion</x:v>
      </x:c>
      <x:c r="H92" s="7" t="str">
        <x:v>limit</x:v>
      </x:c>
      <x:c r="I92" s="7" t="str">
        <x:v>arrayRemove</x:v>
      </x:c>
      <x:c r="J92" s="7" t="str">
        <x:v>collection</x:v>
      </x:c>
      <x:c r="K92" s="16" t="n">
        <x:v>3</x:v>
      </x:c>
      <x:c r="L92" s="7" t="str">
        <x:v>arrayRemove</x:v>
      </x:c>
      <x:c r="M92" s="7" t="str">
        <x:v>配列から値を取り除く専用操作です。</x:v>
      </x:c>
      <x:c r="N92" s="7" t="str">
        <x:v>arrayRemoveは配列内の一致する値を削除します。商品明細のようにオブジェクト配列を細かく扱う場合は、配列再作成やサブコレクションも検討します。</x:v>
      </x:c>
      <x:c r="O92" s="7" t="str">
        <x:v>全範囲</x:v>
      </x:c>
      <x:c r="P92" s="12" t="str">
        <x:v>Firestore,arrayRemove,allergies</x:v>
      </x:c>
    </x:row>
    <x:row r="93" ht="74" customHeight="1">
      <x:c r="A93" s="11" t="str">
        <x:v>FSQ-092</x:v>
      </x:c>
      <x:c r="B93" s="7" t="str">
        <x:v>配列操作</x:v>
      </x:c>
      <x:c r="C93" s="7" t="str">
        <x:v>初級</x:v>
      </x:c>
      <x:c r="D93" s="7" t="str">
        <x:v>4択</x:v>
      </x:c>
      <x:c r="E93" s="7" t="str">
        <x:v>selectedOptions配列から特定の値を削除したい。Firestoreで使える操作は？</x:v>
      </x:c>
      <x:c r="F93" s="7" t="str">
        <x:v>await updateDoc(ref, { selectedOptions: arrayRemove(value) });</x:v>
      </x:c>
      <x:c r="G93" s="7" t="str">
        <x:v>arrayUnion</x:v>
      </x:c>
      <x:c r="H93" s="7" t="str">
        <x:v>limit</x:v>
      </x:c>
      <x:c r="I93" s="7" t="str">
        <x:v>collection</x:v>
      </x:c>
      <x:c r="J93" s="7" t="str">
        <x:v>arrayRemove</x:v>
      </x:c>
      <x:c r="K93" s="16" t="n">
        <x:v>4</x:v>
      </x:c>
      <x:c r="L93" s="7" t="str">
        <x:v>arrayRemove</x:v>
      </x:c>
      <x:c r="M93" s="7" t="str">
        <x:v>配列から値を取り除く専用操作です。</x:v>
      </x:c>
      <x:c r="N93" s="7" t="str">
        <x:v>arrayRemoveは配列内の一致する値を削除します。商品明細のようにオブジェクト配列を細かく扱う場合は、配列再作成やサブコレクションも検討します。</x:v>
      </x:c>
      <x:c r="O93" s="7" t="str">
        <x:v>全範囲</x:v>
      </x:c>
      <x:c r="P93" s="12" t="str">
        <x:v>Firestore,arrayRemove,selectedOptions</x:v>
      </x:c>
    </x:row>
    <x:row r="94" ht="74" customHeight="1">
      <x:c r="A94" s="11" t="str">
        <x:v>FSQ-093</x:v>
      </x:c>
      <x:c r="B94" s="7" t="str">
        <x:v>配列操作</x:v>
      </x:c>
      <x:c r="C94" s="7" t="str">
        <x:v>中級</x:v>
      </x:c>
      <x:c r="D94" s="7" t="str">
        <x:v>4択</x:v>
      </x:c>
      <x:c r="E94" s="7" t="str">
        <x:v>wrongQuestionIds配列から特定の値を削除したい。Firestoreで使える操作は？</x:v>
      </x:c>
      <x:c r="F94" s="7" t="str">
        <x:v>await updateDoc(ref, { wrongQuestionIds: arrayRemove(value) });</x:v>
      </x:c>
      <x:c r="G94" s="7" t="str">
        <x:v>arrayRemove</x:v>
      </x:c>
      <x:c r="H94" s="7" t="str">
        <x:v>arrayUnion</x:v>
      </x:c>
      <x:c r="I94" s="7" t="str">
        <x:v>limit</x:v>
      </x:c>
      <x:c r="J94" s="7" t="str">
        <x:v>collection</x:v>
      </x:c>
      <x:c r="K94" s="16" t="n">
        <x:v>1</x:v>
      </x:c>
      <x:c r="L94" s="7" t="str">
        <x:v>arrayRemove</x:v>
      </x:c>
      <x:c r="M94" s="7" t="str">
        <x:v>配列から値を取り除く専用操作です。</x:v>
      </x:c>
      <x:c r="N94" s="7" t="str">
        <x:v>arrayRemoveは配列内の一致する値を削除します。商品明細のようにオブジェクト配列を細かく扱う場合は、配列再作成やサブコレクションも検討します。</x:v>
      </x:c>
      <x:c r="O94" s="7" t="str">
        <x:v>全範囲</x:v>
      </x:c>
      <x:c r="P94" s="12" t="str">
        <x:v>Firestore,arrayRemove,wrongQuestionIds</x:v>
      </x:c>
    </x:row>
    <x:row r="95" ht="74" customHeight="1">
      <x:c r="A95" s="11" t="str">
        <x:v>FSQ-094</x:v>
      </x:c>
      <x:c r="B95" s="7" t="str">
        <x:v>配列操作</x:v>
      </x:c>
      <x:c r="C95" s="7" t="str">
        <x:v>中級</x:v>
      </x:c>
      <x:c r="D95" s="7" t="str">
        <x:v>4択</x:v>
      </x:c>
      <x:c r="E95" s="7" t="str">
        <x:v>completedItemIds配列から特定の値を削除したい。Firestoreで使える操作は？</x:v>
      </x:c>
      <x:c r="F95" s="7" t="str">
        <x:v>await updateDoc(ref, { completedItemIds: arrayRemove(value) });</x:v>
      </x:c>
      <x:c r="G95" s="7" t="str">
        <x:v>arrayUnion</x:v>
      </x:c>
      <x:c r="H95" s="7" t="str">
        <x:v>arrayRemove</x:v>
      </x:c>
      <x:c r="I95" s="7" t="str">
        <x:v>limit</x:v>
      </x:c>
      <x:c r="J95" s="7" t="str">
        <x:v>collection</x:v>
      </x:c>
      <x:c r="K95" s="16" t="n">
        <x:v>2</x:v>
      </x:c>
      <x:c r="L95" s="7" t="str">
        <x:v>arrayRemove</x:v>
      </x:c>
      <x:c r="M95" s="7" t="str">
        <x:v>配列から値を取り除く専用操作です。</x:v>
      </x:c>
      <x:c r="N95" s="7" t="str">
        <x:v>arrayRemoveは配列内の一致する値を削除します。商品明細のようにオブジェクト配列を細かく扱う場合は、配列再作成やサブコレクションも検討します。</x:v>
      </x:c>
      <x:c r="O95" s="7" t="str">
        <x:v>全範囲</x:v>
      </x:c>
      <x:c r="P95" s="12" t="str">
        <x:v>Firestore,arrayRemove,completedItemIds</x:v>
      </x:c>
    </x:row>
    <x:row r="96" ht="74" customHeight="1">
      <x:c r="A96" s="11" t="str">
        <x:v>FSQ-095</x:v>
      </x:c>
      <x:c r="B96" s="7" t="str">
        <x:v>配列操作</x:v>
      </x:c>
      <x:c r="C96" s="7" t="str">
        <x:v>応用</x:v>
      </x:c>
      <x:c r="D96" s="7" t="str">
        <x:v>4択</x:v>
      </x:c>
      <x:c r="E96" s="7" t="str">
        <x:v>staffCodes配列から特定の値を削除したい。Firestoreで使える操作は？</x:v>
      </x:c>
      <x:c r="F96" s="7" t="str">
        <x:v>await updateDoc(ref, { staffCodes: arrayRemove(value) });</x:v>
      </x:c>
      <x:c r="G96" s="7" t="str">
        <x:v>arrayUnion</x:v>
      </x:c>
      <x:c r="H96" s="7" t="str">
        <x:v>limit</x:v>
      </x:c>
      <x:c r="I96" s="7" t="str">
        <x:v>arrayRemove</x:v>
      </x:c>
      <x:c r="J96" s="7" t="str">
        <x:v>collection</x:v>
      </x:c>
      <x:c r="K96" s="16" t="n">
        <x:v>3</x:v>
      </x:c>
      <x:c r="L96" s="7" t="str">
        <x:v>arrayRemove</x:v>
      </x:c>
      <x:c r="M96" s="7" t="str">
        <x:v>配列から値を取り除く専用操作です。</x:v>
      </x:c>
      <x:c r="N96" s="7" t="str">
        <x:v>arrayRemoveは配列内の一致する値を削除します。商品明細のようにオブジェクト配列を細かく扱う場合は、配列再作成やサブコレクションも検討します。</x:v>
      </x:c>
      <x:c r="O96" s="7" t="str">
        <x:v>全範囲</x:v>
      </x:c>
      <x:c r="P96" s="12" t="str">
        <x:v>Firestore,arrayRemove,staffCodes</x:v>
      </x:c>
    </x:row>
    <x:row r="97" ht="74" customHeight="1">
      <x:c r="A97" s="11" t="str">
        <x:v>FSQ-096</x:v>
      </x:c>
      <x:c r="B97" s="7" t="str">
        <x:v>配列操作</x:v>
      </x:c>
      <x:c r="C97" s="7" t="str">
        <x:v>初級</x:v>
      </x:c>
      <x:c r="D97" s="7" t="str">
        <x:v>4択</x:v>
      </x:c>
      <x:c r="E97" s="7" t="str">
        <x:v>menuIds配列から特定の値を削除したい。Firestoreで使える操作は？</x:v>
      </x:c>
      <x:c r="F97" s="7" t="str">
        <x:v>await updateDoc(ref, { menuIds: arrayRemove(value) });</x:v>
      </x:c>
      <x:c r="G97" s="7" t="str">
        <x:v>arrayUnion</x:v>
      </x:c>
      <x:c r="H97" s="7" t="str">
        <x:v>limit</x:v>
      </x:c>
      <x:c r="I97" s="7" t="str">
        <x:v>collection</x:v>
      </x:c>
      <x:c r="J97" s="7" t="str">
        <x:v>arrayRemove</x:v>
      </x:c>
      <x:c r="K97" s="16" t="n">
        <x:v>4</x:v>
      </x:c>
      <x:c r="L97" s="7" t="str">
        <x:v>arrayRemove</x:v>
      </x:c>
      <x:c r="M97" s="7" t="str">
        <x:v>配列から値を取り除く専用操作です。</x:v>
      </x:c>
      <x:c r="N97" s="7" t="str">
        <x:v>arrayRemoveは配列内の一致する値を削除します。商品明細のようにオブジェクト配列を細かく扱う場合は、配列再作成やサブコレクションも検討します。</x:v>
      </x:c>
      <x:c r="O97" s="7" t="str">
        <x:v>全範囲</x:v>
      </x:c>
      <x:c r="P97" s="12" t="str">
        <x:v>Firestore,arrayRemove,menuIds</x:v>
      </x:c>
    </x:row>
    <x:row r="98" ht="74" customHeight="1">
      <x:c r="A98" s="11" t="str">
        <x:v>FSQ-097</x:v>
      </x:c>
      <x:c r="B98" s="7" t="str">
        <x:v>サブコレクション</x:v>
      </x:c>
      <x:c r="C98" s="7" t="str">
        <x:v>初級</x:v>
      </x:c>
      <x:c r="D98" s="7" t="str">
        <x:v>4択</x:v>
      </x:c>
      <x:c r="E98" s="7" t="str">
        <x:v>ordersの1件に紐づく明細を多数保存し、明細単位で更新したい。検討しやすい設計は？</x:v>
      </x:c>
      <x:c r="F98" s="7" t="str">
        <x:v>orders/{docId}/items/{itemId}</x:v>
      </x:c>
      <x:c r="G98" s="7" t="str">
        <x:v>サブコレクションに分ける</x:v>
      </x:c>
      <x:c r="H98" s="7" t="str">
        <x:v>全明細をCSSに保存する</x:v>
      </x:c>
      <x:c r="I98" s="7" t="str">
        <x:v>必ず1つの巨大配列にする</x:v>
      </x:c>
      <x:c r="J98" s="7" t="str">
        <x:v>毎回プロジェクトを作り直す</x:v>
      </x:c>
      <x:c r="K98" s="16" t="n">
        <x:v>1</x:v>
      </x:c>
      <x:c r="L98" s="7" t="str">
        <x:v>サブコレクションに分ける</x:v>
      </x:c>
      <x:c r="M98" s="7" t="str">
        <x:v>親ドキュメントの下に子コレクションを作る考え方です。</x:v>
      </x:c>
      <x:c r="N98" s="7" t="str">
        <x:v>サブコレクションにすると明細単位の追加、更新、削除、監視がしやすくなります。ただし読み取り回数やクエリ設計も考える必要があります。</x:v>
      </x:c>
      <x:c r="O98" s="7" t="str">
        <x:v>全範囲</x:v>
      </x:c>
      <x:c r="P98" s="12" t="str">
        <x:v>Firestore,subcollection,orders</x:v>
      </x:c>
    </x:row>
    <x:row r="99" ht="74" customHeight="1">
      <x:c r="A99" s="11" t="str">
        <x:v>FSQ-098</x:v>
      </x:c>
      <x:c r="B99" s="7" t="str">
        <x:v>サブコレクション</x:v>
      </x:c>
      <x:c r="C99" s="7" t="str">
        <x:v>中級</x:v>
      </x:c>
      <x:c r="D99" s="7" t="str">
        <x:v>4択</x:v>
      </x:c>
      <x:c r="E99" s="7" t="str">
        <x:v>menusの1件に紐づく明細を多数保存し、明細単位で更新したい。検討しやすい設計は？</x:v>
      </x:c>
      <x:c r="F99" s="7" t="str">
        <x:v>menus/{docId}/items/{itemId}</x:v>
      </x:c>
      <x:c r="G99" s="7" t="str">
        <x:v>全明細をCSSに保存する</x:v>
      </x:c>
      <x:c r="H99" s="7" t="str">
        <x:v>サブコレクションに分ける</x:v>
      </x:c>
      <x:c r="I99" s="7" t="str">
        <x:v>必ず1つの巨大配列にする</x:v>
      </x:c>
      <x:c r="J99" s="7" t="str">
        <x:v>毎回プロジェクトを作り直す</x:v>
      </x:c>
      <x:c r="K99" s="16" t="n">
        <x:v>2</x:v>
      </x:c>
      <x:c r="L99" s="7" t="str">
        <x:v>サブコレクションに分ける</x:v>
      </x:c>
      <x:c r="M99" s="7" t="str">
        <x:v>親ドキュメントの下に子コレクションを作る考え方です。</x:v>
      </x:c>
      <x:c r="N99" s="7" t="str">
        <x:v>サブコレクションにすると明細単位の追加、更新、削除、監視がしやすくなります。ただし読み取り回数やクエリ設計も考える必要があります。</x:v>
      </x:c>
      <x:c r="O99" s="7" t="str">
        <x:v>全範囲</x:v>
      </x:c>
      <x:c r="P99" s="12" t="str">
        <x:v>Firestore,subcollection,menus</x:v>
      </x:c>
    </x:row>
    <x:row r="100" ht="74" customHeight="1">
      <x:c r="A100" s="11" t="str">
        <x:v>FSQ-099</x:v>
      </x:c>
      <x:c r="B100" s="7" t="str">
        <x:v>サブコレクション</x:v>
      </x:c>
      <x:c r="C100" s="7" t="str">
        <x:v>中級</x:v>
      </x:c>
      <x:c r="D100" s="7" t="str">
        <x:v>4択</x:v>
      </x:c>
      <x:c r="E100" s="7" t="str">
        <x:v>usersの1件に紐づく明細を多数保存し、明細単位で更新したい。検討しやすい設計は？</x:v>
      </x:c>
      <x:c r="F100" s="7" t="str">
        <x:v>users/{docId}/items/{itemId}</x:v>
      </x:c>
      <x:c r="G100" s="7" t="str">
        <x:v>全明細をCSSに保存する</x:v>
      </x:c>
      <x:c r="H100" s="7" t="str">
        <x:v>必ず1つの巨大配列にする</x:v>
      </x:c>
      <x:c r="I100" s="7" t="str">
        <x:v>サブコレクションに分ける</x:v>
      </x:c>
      <x:c r="J100" s="7" t="str">
        <x:v>毎回プロジェクトを作り直す</x:v>
      </x:c>
      <x:c r="K100" s="16" t="n">
        <x:v>3</x:v>
      </x:c>
      <x:c r="L100" s="7" t="str">
        <x:v>サブコレクションに分ける</x:v>
      </x:c>
      <x:c r="M100" s="7" t="str">
        <x:v>親ドキュメントの下に子コレクションを作る考え方です。</x:v>
      </x:c>
      <x:c r="N100" s="7" t="str">
        <x:v>サブコレクションにすると明細単位の追加、更新、削除、監視がしやすくなります。ただし読み取り回数やクエリ設計も考える必要があります。</x:v>
      </x:c>
      <x:c r="O100" s="7" t="str">
        <x:v>全範囲</x:v>
      </x:c>
      <x:c r="P100" s="12" t="str">
        <x:v>Firestore,subcollection,users</x:v>
      </x:c>
    </x:row>
    <x:row r="101" ht="74" customHeight="1">
      <x:c r="A101" s="11" t="str">
        <x:v>FSQ-100</x:v>
      </x:c>
      <x:c r="B101" s="7" t="str">
        <x:v>サブコレクション</x:v>
      </x:c>
      <x:c r="C101" s="7" t="str">
        <x:v>応用</x:v>
      </x:c>
      <x:c r="D101" s="7" t="str">
        <x:v>4択</x:v>
      </x:c>
      <x:c r="E101" s="7" t="str">
        <x:v>CookListの1件に紐づく明細を多数保存し、明細単位で更新したい。検討しやすい設計は？</x:v>
      </x:c>
      <x:c r="F101" s="7" t="str">
        <x:v>CookList/{docId}/items/{itemId}</x:v>
      </x:c>
      <x:c r="G101" s="7" t="str">
        <x:v>全明細をCSSに保存する</x:v>
      </x:c>
      <x:c r="H101" s="7" t="str">
        <x:v>必ず1つの巨大配列にする</x:v>
      </x:c>
      <x:c r="I101" s="7" t="str">
        <x:v>毎回プロジェクトを作り直す</x:v>
      </x:c>
      <x:c r="J101" s="7" t="str">
        <x:v>サブコレクションに分ける</x:v>
      </x:c>
      <x:c r="K101" s="16" t="n">
        <x:v>4</x:v>
      </x:c>
      <x:c r="L101" s="7" t="str">
        <x:v>サブコレクションに分ける</x:v>
      </x:c>
      <x:c r="M101" s="7" t="str">
        <x:v>親ドキュメントの下に子コレクションを作る考え方です。</x:v>
      </x:c>
      <x:c r="N101" s="7" t="str">
        <x:v>サブコレクションにすると明細単位の追加、更新、削除、監視がしやすくなります。ただし読み取り回数やクエリ設計も考える必要があります。</x:v>
      </x:c>
      <x:c r="O101" s="7" t="str">
        <x:v>全範囲</x:v>
      </x:c>
      <x:c r="P101" s="12" t="str">
        <x:v>Firestore,subcollection,CookList</x:v>
      </x:c>
    </x:row>
    <x:row r="102" ht="74" customHeight="1">
      <x:c r="A102" s="11" t="str">
        <x:v>FSQ-101</x:v>
      </x:c>
      <x:c r="B102" s="7" t="str">
        <x:v>サブコレクション</x:v>
      </x:c>
      <x:c r="C102" s="7" t="str">
        <x:v>初級</x:v>
      </x:c>
      <x:c r="D102" s="7" t="str">
        <x:v>4択</x:v>
      </x:c>
      <x:c r="E102" s="7" t="str">
        <x:v>StaffListの1件に紐づく明細を多数保存し、明細単位で更新したい。検討しやすい設計は？</x:v>
      </x:c>
      <x:c r="F102" s="7" t="str">
        <x:v>StaffList/{docId}/items/{itemId}</x:v>
      </x:c>
      <x:c r="G102" s="7" t="str">
        <x:v>サブコレクションに分ける</x:v>
      </x:c>
      <x:c r="H102" s="7" t="str">
        <x:v>全明細をCSSに保存する</x:v>
      </x:c>
      <x:c r="I102" s="7" t="str">
        <x:v>必ず1つの巨大配列にする</x:v>
      </x:c>
      <x:c r="J102" s="7" t="str">
        <x:v>毎回プロジェクトを作り直す</x:v>
      </x:c>
      <x:c r="K102" s="16" t="n">
        <x:v>1</x:v>
      </x:c>
      <x:c r="L102" s="7" t="str">
        <x:v>サブコレクションに分ける</x:v>
      </x:c>
      <x:c r="M102" s="7" t="str">
        <x:v>親ドキュメントの下に子コレクションを作る考え方です。</x:v>
      </x:c>
      <x:c r="N102" s="7" t="str">
        <x:v>サブコレクションにすると明細単位の追加、更新、削除、監視がしやすくなります。ただし読み取り回数やクエリ設計も考える必要があります。</x:v>
      </x:c>
      <x:c r="O102" s="7" t="str">
        <x:v>全範囲</x:v>
      </x:c>
      <x:c r="P102" s="12" t="str">
        <x:v>Firestore,subcollection,StaffList</x:v>
      </x:c>
    </x:row>
    <x:row r="103" ht="74" customHeight="1">
      <x:c r="A103" s="11" t="str">
        <x:v>FSQ-102</x:v>
      </x:c>
      <x:c r="B103" s="7" t="str">
        <x:v>サブコレクション</x:v>
      </x:c>
      <x:c r="C103" s="7" t="str">
        <x:v>初級</x:v>
      </x:c>
      <x:c r="D103" s="7" t="str">
        <x:v>4択</x:v>
      </x:c>
      <x:c r="E103" s="7" t="str">
        <x:v>quizQuestionsの1件に紐づく明細を多数保存し、明細単位で更新したい。検討しやすい設計は？</x:v>
      </x:c>
      <x:c r="F103" s="7" t="str">
        <x:v>quizQuestions/{docId}/items/{itemId}</x:v>
      </x:c>
      <x:c r="G103" s="7" t="str">
        <x:v>全明細をCSSに保存する</x:v>
      </x:c>
      <x:c r="H103" s="7" t="str">
        <x:v>サブコレクションに分ける</x:v>
      </x:c>
      <x:c r="I103" s="7" t="str">
        <x:v>必ず1つの巨大配列にする</x:v>
      </x:c>
      <x:c r="J103" s="7" t="str">
        <x:v>毎回プロジェクトを作り直す</x:v>
      </x:c>
      <x:c r="K103" s="16" t="n">
        <x:v>2</x:v>
      </x:c>
      <x:c r="L103" s="7" t="str">
        <x:v>サブコレクションに分ける</x:v>
      </x:c>
      <x:c r="M103" s="7" t="str">
        <x:v>親ドキュメントの下に子コレクションを作る考え方です。</x:v>
      </x:c>
      <x:c r="N103" s="7" t="str">
        <x:v>サブコレクションにすると明細単位の追加、更新、削除、監視がしやすくなります。ただし読み取り回数やクエリ設計も考える必要があります。</x:v>
      </x:c>
      <x:c r="O103" s="7" t="str">
        <x:v>全範囲</x:v>
      </x:c>
      <x:c r="P103" s="12" t="str">
        <x:v>Firestore,subcollection,quizQuestions</x:v>
      </x:c>
    </x:row>
    <x:row r="104" ht="74" customHeight="1">
      <x:c r="A104" s="11" t="str">
        <x:v>FSQ-103</x:v>
      </x:c>
      <x:c r="B104" s="7" t="str">
        <x:v>サブコレクション</x:v>
      </x:c>
      <x:c r="C104" s="7" t="str">
        <x:v>中級</x:v>
      </x:c>
      <x:c r="D104" s="7" t="str">
        <x:v>4択</x:v>
      </x:c>
      <x:c r="E104" s="7" t="str">
        <x:v>learningLogsの1件に紐づく明細を多数保存し、明細単位で更新したい。検討しやすい設計は？</x:v>
      </x:c>
      <x:c r="F104" s="7" t="str">
        <x:v>learningLogs/{docId}/items/{itemId}</x:v>
      </x:c>
      <x:c r="G104" s="7" t="str">
        <x:v>全明細をCSSに保存する</x:v>
      </x:c>
      <x:c r="H104" s="7" t="str">
        <x:v>必ず1つの巨大配列にする</x:v>
      </x:c>
      <x:c r="I104" s="7" t="str">
        <x:v>サブコレクションに分ける</x:v>
      </x:c>
      <x:c r="J104" s="7" t="str">
        <x:v>毎回プロジェクトを作り直す</x:v>
      </x:c>
      <x:c r="K104" s="16" t="n">
        <x:v>3</x:v>
      </x:c>
      <x:c r="L104" s="7" t="str">
        <x:v>サブコレクションに分ける</x:v>
      </x:c>
      <x:c r="M104" s="7" t="str">
        <x:v>親ドキュメントの下に子コレクションを作る考え方です。</x:v>
      </x:c>
      <x:c r="N104" s="7" t="str">
        <x:v>サブコレクションにすると明細単位の追加、更新、削除、監視がしやすくなります。ただし読み取り回数やクエリ設計も考える必要があります。</x:v>
      </x:c>
      <x:c r="O104" s="7" t="str">
        <x:v>全範囲</x:v>
      </x:c>
      <x:c r="P104" s="12" t="str">
        <x:v>Firestore,subcollection,learningLogs</x:v>
      </x:c>
    </x:row>
    <x:row r="105" ht="74" customHeight="1">
      <x:c r="A105" s="11" t="str">
        <x:v>FSQ-104</x:v>
      </x:c>
      <x:c r="B105" s="7" t="str">
        <x:v>サブコレクション</x:v>
      </x:c>
      <x:c r="C105" s="7" t="str">
        <x:v>中級</x:v>
      </x:c>
      <x:c r="D105" s="7" t="str">
        <x:v>4択</x:v>
      </x:c>
      <x:c r="E105" s="7" t="str">
        <x:v>settingsの1件に紐づく明細を多数保存し、明細単位で更新したい。検討しやすい設計は？</x:v>
      </x:c>
      <x:c r="F105" s="7" t="str">
        <x:v>settings/{docId}/items/{itemId}</x:v>
      </x:c>
      <x:c r="G105" s="7" t="str">
        <x:v>全明細をCSSに保存する</x:v>
      </x:c>
      <x:c r="H105" s="7" t="str">
        <x:v>必ず1つの巨大配列にする</x:v>
      </x:c>
      <x:c r="I105" s="7" t="str">
        <x:v>毎回プロジェクトを作り直す</x:v>
      </x:c>
      <x:c r="J105" s="7" t="str">
        <x:v>サブコレクションに分ける</x:v>
      </x:c>
      <x:c r="K105" s="16" t="n">
        <x:v>4</x:v>
      </x:c>
      <x:c r="L105" s="7" t="str">
        <x:v>サブコレクションに分ける</x:v>
      </x:c>
      <x:c r="M105" s="7" t="str">
        <x:v>親ドキュメントの下に子コレクションを作る考え方です。</x:v>
      </x:c>
      <x:c r="N105" s="7" t="str">
        <x:v>サブコレクションにすると明細単位の追加、更新、削除、監視がしやすくなります。ただし読み取り回数やクエリ設計も考える必要があります。</x:v>
      </x:c>
      <x:c r="O105" s="7" t="str">
        <x:v>全範囲</x:v>
      </x:c>
      <x:c r="P105" s="12" t="str">
        <x:v>Firestore,subcollection,settings</x:v>
      </x:c>
    </x:row>
    <x:row r="106" ht="74" customHeight="1">
      <x:c r="A106" s="11" t="str">
        <x:v>FSQ-105</x:v>
      </x:c>
      <x:c r="B106" s="7" t="str">
        <x:v>トランザクション</x:v>
      </x:c>
      <x:c r="C106" s="7" t="str">
        <x:v>応用</x:v>
      </x:c>
      <x:c r="D106" s="7" t="str">
        <x:v>4択</x:v>
      </x:c>
      <x:c r="E106" s="7" t="str">
        <x:v>在庫数を複数端末が同時に更新する可能性がある。競合対策として向いているものは？</x:v>
      </x:c>
      <x:c r="F106" s="7" t="str">
        <x:v>await runTransaction(db, async (transaction) =&gt; { ... });</x:v>
      </x:c>
      <x:c r="G106" s="7" t="str">
        <x:v>runTransaction</x:v>
      </x:c>
      <x:c r="H106" s="7" t="str">
        <x:v>getDocsだけ</x:v>
      </x:c>
      <x:c r="I106" s="7" t="str">
        <x:v>CSSアニメーション</x:v>
      </x:c>
      <x:c r="J106" s="7" t="str">
        <x:v>alertだけ</x:v>
      </x:c>
      <x:c r="K106" s="16" t="n">
        <x:v>1</x:v>
      </x:c>
      <x:c r="L106" s="7" t="str">
        <x:v>runTransaction</x:v>
      </x:c>
      <x:c r="M106" s="7" t="str">
        <x:v>読み取りと書き込みを一連の処理として扱います。</x:v>
      </x:c>
      <x:c r="N106" s="7" t="str">
        <x:v>transactionは現在値を読み取り、条件を確認してから更新できます。同時更新が起きた場合の再試行にも対応しやすいです。</x:v>
      </x:c>
      <x:c r="O106" s="7" t="str">
        <x:v>実装判断</x:v>
      </x:c>
      <x:c r="P106" s="12" t="str">
        <x:v>Firestore,transaction,在庫数</x:v>
      </x:c>
    </x:row>
    <x:row r="107" ht="74" customHeight="1">
      <x:c r="A107" s="11" t="str">
        <x:v>FSQ-106</x:v>
      </x:c>
      <x:c r="B107" s="7" t="str">
        <x:v>トランザクション</x:v>
      </x:c>
      <x:c r="C107" s="7" t="str">
        <x:v>初級</x:v>
      </x:c>
      <x:c r="D107" s="7" t="str">
        <x:v>4択</x:v>
      </x:c>
      <x:c r="E107" s="7" t="str">
        <x:v>座席数を複数端末が同時に更新する可能性がある。競合対策として向いているものは？</x:v>
      </x:c>
      <x:c r="F107" s="7" t="str">
        <x:v>await runTransaction(db, async (transaction) =&gt; { ... });</x:v>
      </x:c>
      <x:c r="G107" s="7" t="str">
        <x:v>getDocsだけ</x:v>
      </x:c>
      <x:c r="H107" s="7" t="str">
        <x:v>runTransaction</x:v>
      </x:c>
      <x:c r="I107" s="7" t="str">
        <x:v>CSSアニメーション</x:v>
      </x:c>
      <x:c r="J107" s="7" t="str">
        <x:v>alertだけ</x:v>
      </x:c>
      <x:c r="K107" s="16" t="n">
        <x:v>2</x:v>
      </x:c>
      <x:c r="L107" s="7" t="str">
        <x:v>runTransaction</x:v>
      </x:c>
      <x:c r="M107" s="7" t="str">
        <x:v>読み取りと書き込みを一連の処理として扱います。</x:v>
      </x:c>
      <x:c r="N107" s="7" t="str">
        <x:v>transactionは現在値を読み取り、条件を確認してから更新できます。同時更新が起きた場合の再試行にも対応しやすいです。</x:v>
      </x:c>
      <x:c r="O107" s="7" t="str">
        <x:v>実装判断</x:v>
      </x:c>
      <x:c r="P107" s="12" t="str">
        <x:v>Firestore,transaction,座席数</x:v>
      </x:c>
    </x:row>
    <x:row r="108" ht="74" customHeight="1">
      <x:c r="A108" s="11" t="str">
        <x:v>FSQ-107</x:v>
      </x:c>
      <x:c r="B108" s="7" t="str">
        <x:v>トランザクション</x:v>
      </x:c>
      <x:c r="C108" s="7" t="str">
        <x:v>初級</x:v>
      </x:c>
      <x:c r="D108" s="7" t="str">
        <x:v>4択</x:v>
      </x:c>
      <x:c r="E108" s="7" t="str">
        <x:v>注文合計を複数端末が同時に更新する可能性がある。競合対策として向いているものは？</x:v>
      </x:c>
      <x:c r="F108" s="7" t="str">
        <x:v>await runTransaction(db, async (transaction) =&gt; { ... });</x:v>
      </x:c>
      <x:c r="G108" s="7" t="str">
        <x:v>getDocsだけ</x:v>
      </x:c>
      <x:c r="H108" s="7" t="str">
        <x:v>CSSアニメーション</x:v>
      </x:c>
      <x:c r="I108" s="7" t="str">
        <x:v>runTransaction</x:v>
      </x:c>
      <x:c r="J108" s="7" t="str">
        <x:v>alertだけ</x:v>
      </x:c>
      <x:c r="K108" s="16" t="n">
        <x:v>3</x:v>
      </x:c>
      <x:c r="L108" s="7" t="str">
        <x:v>runTransaction</x:v>
      </x:c>
      <x:c r="M108" s="7" t="str">
        <x:v>読み取りと書き込みを一連の処理として扱います。</x:v>
      </x:c>
      <x:c r="N108" s="7" t="str">
        <x:v>transactionは現在値を読み取り、条件を確認してから更新できます。同時更新が起きた場合の再試行にも対応しやすいです。</x:v>
      </x:c>
      <x:c r="O108" s="7" t="str">
        <x:v>実装判断</x:v>
      </x:c>
      <x:c r="P108" s="12" t="str">
        <x:v>Firestore,transaction,注文合計</x:v>
      </x:c>
    </x:row>
    <x:row r="109" ht="74" customHeight="1">
      <x:c r="A109" s="11" t="str">
        <x:v>FSQ-108</x:v>
      </x:c>
      <x:c r="B109" s="7" t="str">
        <x:v>トランザクション</x:v>
      </x:c>
      <x:c r="C109" s="7" t="str">
        <x:v>中級</x:v>
      </x:c>
      <x:c r="D109" s="7" t="str">
        <x:v>4択</x:v>
      </x:c>
      <x:c r="E109" s="7" t="str">
        <x:v>回答回数を複数端末が同時に更新する可能性がある。競合対策として向いているものは？</x:v>
      </x:c>
      <x:c r="F109" s="7" t="str">
        <x:v>await runTransaction(db, async (transaction) =&gt; { ... });</x:v>
      </x:c>
      <x:c r="G109" s="7" t="str">
        <x:v>getDocsだけ</x:v>
      </x:c>
      <x:c r="H109" s="7" t="str">
        <x:v>CSSアニメーション</x:v>
      </x:c>
      <x:c r="I109" s="7" t="str">
        <x:v>alertだけ</x:v>
      </x:c>
      <x:c r="J109" s="7" t="str">
        <x:v>runTransaction</x:v>
      </x:c>
      <x:c r="K109" s="16" t="n">
        <x:v>4</x:v>
      </x:c>
      <x:c r="L109" s="7" t="str">
        <x:v>runTransaction</x:v>
      </x:c>
      <x:c r="M109" s="7" t="str">
        <x:v>読み取りと書き込みを一連の処理として扱います。</x:v>
      </x:c>
      <x:c r="N109" s="7" t="str">
        <x:v>transactionは現在値を読み取り、条件を確認してから更新できます。同時更新が起きた場合の再試行にも対応しやすいです。</x:v>
      </x:c>
      <x:c r="O109" s="7" t="str">
        <x:v>実装判断</x:v>
      </x:c>
      <x:c r="P109" s="12" t="str">
        <x:v>Firestore,transaction,回答回数</x:v>
      </x:c>
    </x:row>
    <x:row r="110" ht="74" customHeight="1">
      <x:c r="A110" s="11" t="str">
        <x:v>FSQ-109</x:v>
      </x:c>
      <x:c r="B110" s="7" t="str">
        <x:v>トランザクション</x:v>
      </x:c>
      <x:c r="C110" s="7" t="str">
        <x:v>中級</x:v>
      </x:c>
      <x:c r="D110" s="7" t="str">
        <x:v>4択</x:v>
      </x:c>
      <x:c r="E110" s="7" t="str">
        <x:v>正解数を複数端末が同時に更新する可能性がある。競合対策として向いているものは？</x:v>
      </x:c>
      <x:c r="F110" s="7" t="str">
        <x:v>await runTransaction(db, async (transaction) =&gt; { ... });</x:v>
      </x:c>
      <x:c r="G110" s="7" t="str">
        <x:v>runTransaction</x:v>
      </x:c>
      <x:c r="H110" s="7" t="str">
        <x:v>getDocsだけ</x:v>
      </x:c>
      <x:c r="I110" s="7" t="str">
        <x:v>CSSアニメーション</x:v>
      </x:c>
      <x:c r="J110" s="7" t="str">
        <x:v>alertだけ</x:v>
      </x:c>
      <x:c r="K110" s="16" t="n">
        <x:v>1</x:v>
      </x:c>
      <x:c r="L110" s="7" t="str">
        <x:v>runTransaction</x:v>
      </x:c>
      <x:c r="M110" s="7" t="str">
        <x:v>読み取りと書き込みを一連の処理として扱います。</x:v>
      </x:c>
      <x:c r="N110" s="7" t="str">
        <x:v>transactionは現在値を読み取り、条件を確認してから更新できます。同時更新が起きた場合の再試行にも対応しやすいです。</x:v>
      </x:c>
      <x:c r="O110" s="7" t="str">
        <x:v>実装判断</x:v>
      </x:c>
      <x:c r="P110" s="12" t="str">
        <x:v>Firestore,transaction,正解数</x:v>
      </x:c>
    </x:row>
    <x:row r="111" ht="74" customHeight="1">
      <x:c r="A111" s="11" t="str">
        <x:v>FSQ-110</x:v>
      </x:c>
      <x:c r="B111" s="7" t="str">
        <x:v>トランザクション</x:v>
      </x:c>
      <x:c r="C111" s="7" t="str">
        <x:v>応用</x:v>
      </x:c>
      <x:c r="D111" s="7" t="str">
        <x:v>4択</x:v>
      </x:c>
      <x:c r="E111" s="7" t="str">
        <x:v>提供待ち件数を複数端末が同時に更新する可能性がある。競合対策として向いているものは？</x:v>
      </x:c>
      <x:c r="F111" s="7" t="str">
        <x:v>await runTransaction(db, async (transaction) =&gt; { ... });</x:v>
      </x:c>
      <x:c r="G111" s="7" t="str">
        <x:v>getDocsだけ</x:v>
      </x:c>
      <x:c r="H111" s="7" t="str">
        <x:v>runTransaction</x:v>
      </x:c>
      <x:c r="I111" s="7" t="str">
        <x:v>CSSアニメーション</x:v>
      </x:c>
      <x:c r="J111" s="7" t="str">
        <x:v>alertだけ</x:v>
      </x:c>
      <x:c r="K111" s="16" t="n">
        <x:v>2</x:v>
      </x:c>
      <x:c r="L111" s="7" t="str">
        <x:v>runTransaction</x:v>
      </x:c>
      <x:c r="M111" s="7" t="str">
        <x:v>読み取りと書き込みを一連の処理として扱います。</x:v>
      </x:c>
      <x:c r="N111" s="7" t="str">
        <x:v>transactionは現在値を読み取り、条件を確認してから更新できます。同時更新が起きた場合の再試行にも対応しやすいです。</x:v>
      </x:c>
      <x:c r="O111" s="7" t="str">
        <x:v>実装判断</x:v>
      </x:c>
      <x:c r="P111" s="12" t="str">
        <x:v>Firestore,transaction,提供待ち件数</x:v>
      </x:c>
    </x:row>
    <x:row r="112" ht="74" customHeight="1">
      <x:c r="A112" s="11" t="str">
        <x:v>FSQ-111</x:v>
      </x:c>
      <x:c r="B112" s="7" t="str">
        <x:v>トランザクション</x:v>
      </x:c>
      <x:c r="C112" s="7" t="str">
        <x:v>初級</x:v>
      </x:c>
      <x:c r="D112" s="7" t="str">
        <x:v>4択</x:v>
      </x:c>
      <x:c r="E112" s="7" t="str">
        <x:v>残数を複数端末が同時に更新する可能性がある。競合対策として向いているものは？</x:v>
      </x:c>
      <x:c r="F112" s="7" t="str">
        <x:v>await runTransaction(db, async (transaction) =&gt; { ... });</x:v>
      </x:c>
      <x:c r="G112" s="7" t="str">
        <x:v>getDocsだけ</x:v>
      </x:c>
      <x:c r="H112" s="7" t="str">
        <x:v>CSSアニメーション</x:v>
      </x:c>
      <x:c r="I112" s="7" t="str">
        <x:v>runTransaction</x:v>
      </x:c>
      <x:c r="J112" s="7" t="str">
        <x:v>alertだけ</x:v>
      </x:c>
      <x:c r="K112" s="16" t="n">
        <x:v>3</x:v>
      </x:c>
      <x:c r="L112" s="7" t="str">
        <x:v>runTransaction</x:v>
      </x:c>
      <x:c r="M112" s="7" t="str">
        <x:v>読み取りと書き込みを一連の処理として扱います。</x:v>
      </x:c>
      <x:c r="N112" s="7" t="str">
        <x:v>transactionは現在値を読み取り、条件を確認してから更新できます。同時更新が起きた場合の再試行にも対応しやすいです。</x:v>
      </x:c>
      <x:c r="O112" s="7" t="str">
        <x:v>実装判断</x:v>
      </x:c>
      <x:c r="P112" s="12" t="str">
        <x:v>Firestore,transaction,残数</x:v>
      </x:c>
    </x:row>
    <x:row r="113" ht="74" customHeight="1">
      <x:c r="A113" s="11" t="str">
        <x:v>FSQ-112</x:v>
      </x:c>
      <x:c r="B113" s="7" t="str">
        <x:v>トランザクション</x:v>
      </x:c>
      <x:c r="C113" s="7" t="str">
        <x:v>初級</x:v>
      </x:c>
      <x:c r="D113" s="7" t="str">
        <x:v>4択</x:v>
      </x:c>
      <x:c r="E113" s="7" t="str">
        <x:v>ポイントを複数端末が同時に更新する可能性がある。競合対策として向いているものは？</x:v>
      </x:c>
      <x:c r="F113" s="7" t="str">
        <x:v>await runTransaction(db, async (transaction) =&gt; { ... });</x:v>
      </x:c>
      <x:c r="G113" s="7" t="str">
        <x:v>getDocsだけ</x:v>
      </x:c>
      <x:c r="H113" s="7" t="str">
        <x:v>CSSアニメーション</x:v>
      </x:c>
      <x:c r="I113" s="7" t="str">
        <x:v>alertだけ</x:v>
      </x:c>
      <x:c r="J113" s="7" t="str">
        <x:v>runTransaction</x:v>
      </x:c>
      <x:c r="K113" s="16" t="n">
        <x:v>4</x:v>
      </x:c>
      <x:c r="L113" s="7" t="str">
        <x:v>runTransaction</x:v>
      </x:c>
      <x:c r="M113" s="7" t="str">
        <x:v>読み取りと書き込みを一連の処理として扱います。</x:v>
      </x:c>
      <x:c r="N113" s="7" t="str">
        <x:v>transactionは現在値を読み取り、条件を確認してから更新できます。同時更新が起きた場合の再試行にも対応しやすいです。</x:v>
      </x:c>
      <x:c r="O113" s="7" t="str">
        <x:v>実装判断</x:v>
      </x:c>
      <x:c r="P113" s="12" t="str">
        <x:v>Firestore,transaction,ポイント</x:v>
      </x:c>
    </x:row>
    <x:row r="114" ht="74" customHeight="1">
      <x:c r="A114" s="11" t="str">
        <x:v>FSQ-113</x:v>
      </x:c>
      <x:c r="B114" s="7" t="str">
        <x:v>バッチ書き込み</x:v>
      </x:c>
      <x:c r="C114" s="7" t="str">
        <x:v>中級</x:v>
      </x:c>
      <x:c r="D114" s="7" t="str">
        <x:v>4択</x:v>
      </x:c>
      <x:c r="E114" s="7" t="str">
        <x:v>合算で複数ドキュメントをまとめて書き込みたい。Firestoreで検討するものは？</x:v>
      </x:c>
      <x:c r="F114" s="7" t="str">
        <x:v>const batch = writeBatch(db);</x:v>
      </x:c>
      <x:c r="G114" s="7" t="str">
        <x:v>writeBatch</x:v>
      </x:c>
      <x:c r="H114" s="7" t="str">
        <x:v>where</x:v>
      </x:c>
      <x:c r="I114" s="7" t="str">
        <x:v>orderBy</x:v>
      </x:c>
      <x:c r="J114" s="7" t="str">
        <x:v>getDoc</x:v>
      </x:c>
      <x:c r="K114" s="16" t="n">
        <x:v>1</x:v>
      </x:c>
      <x:c r="L114" s="7" t="str">
        <x:v>writeBatch</x:v>
      </x:c>
      <x:c r="M114" s="7" t="str">
        <x:v>複数書き込みをまとめる仕組みです。</x:v>
      </x:c>
      <x:c r="N114" s="7" t="str">
        <x:v>writeBatchは複数のset、update、deleteをまとめて実行できます。読み取り結果に応じた条件分岐が必要な場合はtransactionも検討します。</x:v>
      </x:c>
      <x:c r="O114" s="7" t="str">
        <x:v>全範囲</x:v>
      </x:c>
      <x:c r="P114" s="12" t="str">
        <x:v>Firestore,writeBatch,合算</x:v>
      </x:c>
    </x:row>
    <x:row r="115" ht="74" customHeight="1">
      <x:c r="A115" s="11" t="str">
        <x:v>FSQ-114</x:v>
      </x:c>
      <x:c r="B115" s="7" t="str">
        <x:v>バッチ書き込み</x:v>
      </x:c>
      <x:c r="C115" s="7" t="str">
        <x:v>中級</x:v>
      </x:c>
      <x:c r="D115" s="7" t="str">
        <x:v>4択</x:v>
      </x:c>
      <x:c r="E115" s="7" t="str">
        <x:v>テーブル変更で複数ドキュメントをまとめて書き込みたい。Firestoreで検討するものは？</x:v>
      </x:c>
      <x:c r="F115" s="7" t="str">
        <x:v>const batch = writeBatch(db);</x:v>
      </x:c>
      <x:c r="G115" s="7" t="str">
        <x:v>where</x:v>
      </x:c>
      <x:c r="H115" s="7" t="str">
        <x:v>writeBatch</x:v>
      </x:c>
      <x:c r="I115" s="7" t="str">
        <x:v>orderBy</x:v>
      </x:c>
      <x:c r="J115" s="7" t="str">
        <x:v>getDoc</x:v>
      </x:c>
      <x:c r="K115" s="16" t="n">
        <x:v>2</x:v>
      </x:c>
      <x:c r="L115" s="7" t="str">
        <x:v>writeBatch</x:v>
      </x:c>
      <x:c r="M115" s="7" t="str">
        <x:v>複数書き込みをまとめる仕組みです。</x:v>
      </x:c>
      <x:c r="N115" s="7" t="str">
        <x:v>writeBatchは複数のset、update、deleteをまとめて実行できます。読み取り結果に応じた条件分岐が必要な場合はtransactionも検討します。</x:v>
      </x:c>
      <x:c r="O115" s="7" t="str">
        <x:v>全範囲</x:v>
      </x:c>
      <x:c r="P115" s="12" t="str">
        <x:v>Firestore,writeBatch,テーブル変更</x:v>
      </x:c>
    </x:row>
    <x:row r="116" ht="74" customHeight="1">
      <x:c r="A116" s="11" t="str">
        <x:v>FSQ-115</x:v>
      </x:c>
      <x:c r="B116" s="7" t="str">
        <x:v>バッチ書き込み</x:v>
      </x:c>
      <x:c r="C116" s="7" t="str">
        <x:v>応用</x:v>
      </x:c>
      <x:c r="D116" s="7" t="str">
        <x:v>4択</x:v>
      </x:c>
      <x:c r="E116" s="7" t="str">
        <x:v>注文取消で複数ドキュメントをまとめて書き込みたい。Firestoreで検討するものは？</x:v>
      </x:c>
      <x:c r="F116" s="7" t="str">
        <x:v>const batch = writeBatch(db);</x:v>
      </x:c>
      <x:c r="G116" s="7" t="str">
        <x:v>where</x:v>
      </x:c>
      <x:c r="H116" s="7" t="str">
        <x:v>orderBy</x:v>
      </x:c>
      <x:c r="I116" s="7" t="str">
        <x:v>writeBatch</x:v>
      </x:c>
      <x:c r="J116" s="7" t="str">
        <x:v>getDoc</x:v>
      </x:c>
      <x:c r="K116" s="16" t="n">
        <x:v>3</x:v>
      </x:c>
      <x:c r="L116" s="7" t="str">
        <x:v>writeBatch</x:v>
      </x:c>
      <x:c r="M116" s="7" t="str">
        <x:v>複数書き込みをまとめる仕組みです。</x:v>
      </x:c>
      <x:c r="N116" s="7" t="str">
        <x:v>writeBatchは複数のset、update、deleteをまとめて実行できます。読み取り結果に応じた条件分岐が必要な場合はtransactionも検討します。</x:v>
      </x:c>
      <x:c r="O116" s="7" t="str">
        <x:v>全範囲</x:v>
      </x:c>
      <x:c r="P116" s="12" t="str">
        <x:v>Firestore,writeBatch,注文取消</x:v>
      </x:c>
    </x:row>
    <x:row r="117" ht="74" customHeight="1">
      <x:c r="A117" s="11" t="str">
        <x:v>FSQ-116</x:v>
      </x:c>
      <x:c r="B117" s="7" t="str">
        <x:v>バッチ書き込み</x:v>
      </x:c>
      <x:c r="C117" s="7" t="str">
        <x:v>初級</x:v>
      </x:c>
      <x:c r="D117" s="7" t="str">
        <x:v>4択</x:v>
      </x:c>
      <x:c r="E117" s="7" t="str">
        <x:v>提供完了で複数ドキュメントをまとめて書き込みたい。Firestoreで検討するものは？</x:v>
      </x:c>
      <x:c r="F117" s="7" t="str">
        <x:v>const batch = writeBatch(db);</x:v>
      </x:c>
      <x:c r="G117" s="7" t="str">
        <x:v>where</x:v>
      </x:c>
      <x:c r="H117" s="7" t="str">
        <x:v>orderBy</x:v>
      </x:c>
      <x:c r="I117" s="7" t="str">
        <x:v>getDoc</x:v>
      </x:c>
      <x:c r="J117" s="7" t="str">
        <x:v>writeBatch</x:v>
      </x:c>
      <x:c r="K117" s="16" t="n">
        <x:v>4</x:v>
      </x:c>
      <x:c r="L117" s="7" t="str">
        <x:v>writeBatch</x:v>
      </x:c>
      <x:c r="M117" s="7" t="str">
        <x:v>複数書き込みをまとめる仕組みです。</x:v>
      </x:c>
      <x:c r="N117" s="7" t="str">
        <x:v>writeBatchは複数のset、update、deleteをまとめて実行できます。読み取り結果に応じた条件分岐が必要な場合はtransactionも検討します。</x:v>
      </x:c>
      <x:c r="O117" s="7" t="str">
        <x:v>全範囲</x:v>
      </x:c>
      <x:c r="P117" s="12" t="str">
        <x:v>Firestore,writeBatch,提供完了</x:v>
      </x:c>
    </x:row>
    <x:row r="118" ht="74" customHeight="1">
      <x:c r="A118" s="11" t="str">
        <x:v>FSQ-117</x:v>
      </x:c>
      <x:c r="B118" s="7" t="str">
        <x:v>バッチ書き込み</x:v>
      </x:c>
      <x:c r="C118" s="7" t="str">
        <x:v>初級</x:v>
      </x:c>
      <x:c r="D118" s="7" t="str">
        <x:v>4択</x:v>
      </x:c>
      <x:c r="E118" s="7" t="str">
        <x:v>初期データ投入で複数ドキュメントをまとめて書き込みたい。Firestoreで検討するものは？</x:v>
      </x:c>
      <x:c r="F118" s="7" t="str">
        <x:v>const batch = writeBatch(db);</x:v>
      </x:c>
      <x:c r="G118" s="7" t="str">
        <x:v>writeBatch</x:v>
      </x:c>
      <x:c r="H118" s="7" t="str">
        <x:v>where</x:v>
      </x:c>
      <x:c r="I118" s="7" t="str">
        <x:v>orderBy</x:v>
      </x:c>
      <x:c r="J118" s="7" t="str">
        <x:v>getDoc</x:v>
      </x:c>
      <x:c r="K118" s="16" t="n">
        <x:v>1</x:v>
      </x:c>
      <x:c r="L118" s="7" t="str">
        <x:v>writeBatch</x:v>
      </x:c>
      <x:c r="M118" s="7" t="str">
        <x:v>複数書き込みをまとめる仕組みです。</x:v>
      </x:c>
      <x:c r="N118" s="7" t="str">
        <x:v>writeBatchは複数のset、update、deleteをまとめて実行できます。読み取り結果に応じた条件分岐が必要な場合はtransactionも検討します。</x:v>
      </x:c>
      <x:c r="O118" s="7" t="str">
        <x:v>全範囲</x:v>
      </x:c>
      <x:c r="P118" s="12" t="str">
        <x:v>Firestore,writeBatch,初期データ投入</x:v>
      </x:c>
    </x:row>
    <x:row r="119" ht="74" customHeight="1">
      <x:c r="A119" s="11" t="str">
        <x:v>FSQ-118</x:v>
      </x:c>
      <x:c r="B119" s="7" t="str">
        <x:v>バッチ書き込み</x:v>
      </x:c>
      <x:c r="C119" s="7" t="str">
        <x:v>中級</x:v>
      </x:c>
      <x:c r="D119" s="7" t="str">
        <x:v>4択</x:v>
      </x:c>
      <x:c r="E119" s="7" t="str">
        <x:v>一括状態更新で複数ドキュメントをまとめて書き込みたい。Firestoreで検討するものは？</x:v>
      </x:c>
      <x:c r="F119" s="7" t="str">
        <x:v>const batch = writeBatch(db);</x:v>
      </x:c>
      <x:c r="G119" s="7" t="str">
        <x:v>where</x:v>
      </x:c>
      <x:c r="H119" s="7" t="str">
        <x:v>writeBatch</x:v>
      </x:c>
      <x:c r="I119" s="7" t="str">
        <x:v>orderBy</x:v>
      </x:c>
      <x:c r="J119" s="7" t="str">
        <x:v>getDoc</x:v>
      </x:c>
      <x:c r="K119" s="16" t="n">
        <x:v>2</x:v>
      </x:c>
      <x:c r="L119" s="7" t="str">
        <x:v>writeBatch</x:v>
      </x:c>
      <x:c r="M119" s="7" t="str">
        <x:v>複数書き込みをまとめる仕組みです。</x:v>
      </x:c>
      <x:c r="N119" s="7" t="str">
        <x:v>writeBatchは複数のset、update、deleteをまとめて実行できます。読み取り結果に応じた条件分岐が必要な場合はtransactionも検討します。</x:v>
      </x:c>
      <x:c r="O119" s="7" t="str">
        <x:v>全範囲</x:v>
      </x:c>
      <x:c r="P119" s="12" t="str">
        <x:v>Firestore,writeBatch,一括状態更新</x:v>
      </x:c>
    </x:row>
    <x:row r="120" ht="74" customHeight="1">
      <x:c r="A120" s="11" t="str">
        <x:v>FSQ-119</x:v>
      </x:c>
      <x:c r="B120" s="7" t="str">
        <x:v>バッチ書き込み</x:v>
      </x:c>
      <x:c r="C120" s="7" t="str">
        <x:v>中級</x:v>
      </x:c>
      <x:c r="D120" s="7" t="str">
        <x:v>4択</x:v>
      </x:c>
      <x:c r="E120" s="7" t="str">
        <x:v>複数ログ保存で複数ドキュメントをまとめて書き込みたい。Firestoreで検討するものは？</x:v>
      </x:c>
      <x:c r="F120" s="7" t="str">
        <x:v>const batch = writeBatch(db);</x:v>
      </x:c>
      <x:c r="G120" s="7" t="str">
        <x:v>where</x:v>
      </x:c>
      <x:c r="H120" s="7" t="str">
        <x:v>orderBy</x:v>
      </x:c>
      <x:c r="I120" s="7" t="str">
        <x:v>writeBatch</x:v>
      </x:c>
      <x:c r="J120" s="7" t="str">
        <x:v>getDoc</x:v>
      </x:c>
      <x:c r="K120" s="16" t="n">
        <x:v>3</x:v>
      </x:c>
      <x:c r="L120" s="7" t="str">
        <x:v>writeBatch</x:v>
      </x:c>
      <x:c r="M120" s="7" t="str">
        <x:v>複数書き込みをまとめる仕組みです。</x:v>
      </x:c>
      <x:c r="N120" s="7" t="str">
        <x:v>writeBatchは複数のset、update、deleteをまとめて実行できます。読み取り結果に応じた条件分岐が必要な場合はtransactionも検討します。</x:v>
      </x:c>
      <x:c r="O120" s="7" t="str">
        <x:v>全範囲</x:v>
      </x:c>
      <x:c r="P120" s="12" t="str">
        <x:v>Firestore,writeBatch,複数ログ保存</x:v>
      </x:c>
    </x:row>
    <x:row r="121" ht="74" customHeight="1">
      <x:c r="A121" s="11" t="str">
        <x:v>FSQ-120</x:v>
      </x:c>
      <x:c r="B121" s="7" t="str">
        <x:v>バッチ書き込み</x:v>
      </x:c>
      <x:c r="C121" s="7" t="str">
        <x:v>応用</x:v>
      </x:c>
      <x:c r="D121" s="7" t="str">
        <x:v>4択</x:v>
      </x:c>
      <x:c r="E121" s="7" t="str">
        <x:v>メニュー一括更新で複数ドキュメントをまとめて書き込みたい。Firestoreで検討するものは？</x:v>
      </x:c>
      <x:c r="F121" s="7" t="str">
        <x:v>const batch = writeBatch(db);</x:v>
      </x:c>
      <x:c r="G121" s="7" t="str">
        <x:v>where</x:v>
      </x:c>
      <x:c r="H121" s="7" t="str">
        <x:v>orderBy</x:v>
      </x:c>
      <x:c r="I121" s="7" t="str">
        <x:v>getDoc</x:v>
      </x:c>
      <x:c r="J121" s="7" t="str">
        <x:v>writeBatch</x:v>
      </x:c>
      <x:c r="K121" s="16" t="n">
        <x:v>4</x:v>
      </x:c>
      <x:c r="L121" s="7" t="str">
        <x:v>writeBatch</x:v>
      </x:c>
      <x:c r="M121" s="7" t="str">
        <x:v>複数書き込みをまとめる仕組みです。</x:v>
      </x:c>
      <x:c r="N121" s="7" t="str">
        <x:v>writeBatchは複数のset、update、deleteをまとめて実行できます。読み取り結果に応じた条件分岐が必要な場合はtransactionも検討します。</x:v>
      </x:c>
      <x:c r="O121" s="7" t="str">
        <x:v>全範囲</x:v>
      </x:c>
      <x:c r="P121" s="12" t="str">
        <x:v>Firestore,writeBatch,メニュー一括更新</x:v>
      </x:c>
    </x:row>
    <x:row r="122" ht="74" customHeight="1">
      <x:c r="A122" s="11" t="str">
        <x:v>FSQ-121</x:v>
      </x:c>
      <x:c r="B122" s="7" t="str">
        <x:v>セキュリティルール</x:v>
      </x:c>
      <x:c r="C122" s="7" t="str">
        <x:v>初級</x:v>
      </x:c>
      <x:c r="D122" s="7" t="str">
        <x:v>4択</x:v>
      </x:c>
      <x:c r="E122" s="7" t="str">
        <x:v>注文作成をFirestoreで許可するか制御したい。本番で設定すべきものは？</x:v>
      </x:c>
      <x:c r="F122" s="7" t="str">
        <x:v>match /databases/{database}/documents { ... }</x:v>
      </x:c>
      <x:c r="G122" s="7" t="str">
        <x:v>Security Rules</x:v>
      </x:c>
      <x:c r="H122" s="7" t="str">
        <x:v>CSSのdisplay:none</x:v>
      </x:c>
      <x:c r="I122" s="7" t="str">
        <x:v>HTMLコメント</x:v>
      </x:c>
      <x:c r="J122" s="7" t="str">
        <x:v>favicon設定</x:v>
      </x:c>
      <x:c r="K122" s="16" t="n">
        <x:v>1</x:v>
      </x:c>
      <x:c r="L122" s="7" t="str">
        <x:v>Security Rules</x:v>
      </x:c>
      <x:c r="M122" s="7" t="str">
        <x:v>画面側の非表示だけでは保護になりません。</x:v>
      </x:c>
      <x:c r="N122" s="7" t="str">
        <x:v>Firestoreの読み書き権限はSecurity Rulesで制御します。クライアントから直接アクセスする場合は特に重要です。</x:v>
      </x:c>
      <x:c r="O122" s="7" t="str">
        <x:v>実装判断</x:v>
      </x:c>
      <x:c r="P122" s="12" t="str">
        <x:v>Firestore,SecurityRules,注文作成</x:v>
      </x:c>
    </x:row>
    <x:row r="123" ht="74" customHeight="1">
      <x:c r="A123" s="11" t="str">
        <x:v>FSQ-122</x:v>
      </x:c>
      <x:c r="B123" s="7" t="str">
        <x:v>セキュリティルール</x:v>
      </x:c>
      <x:c r="C123" s="7" t="str">
        <x:v>初級</x:v>
      </x:c>
      <x:c r="D123" s="7" t="str">
        <x:v>4択</x:v>
      </x:c>
      <x:c r="E123" s="7" t="str">
        <x:v>注文更新をFirestoreで許可するか制御したい。本番で設定すべきものは？</x:v>
      </x:c>
      <x:c r="F123" s="7" t="str">
        <x:v>match /databases/{database}/documents { ... }</x:v>
      </x:c>
      <x:c r="G123" s="7" t="str">
        <x:v>CSSのdisplay:none</x:v>
      </x:c>
      <x:c r="H123" s="7" t="str">
        <x:v>Security Rules</x:v>
      </x:c>
      <x:c r="I123" s="7" t="str">
        <x:v>HTMLコメント</x:v>
      </x:c>
      <x:c r="J123" s="7" t="str">
        <x:v>favicon設定</x:v>
      </x:c>
      <x:c r="K123" s="16" t="n">
        <x:v>2</x:v>
      </x:c>
      <x:c r="L123" s="7" t="str">
        <x:v>Security Rules</x:v>
      </x:c>
      <x:c r="M123" s="7" t="str">
        <x:v>画面側の非表示だけでは保護になりません。</x:v>
      </x:c>
      <x:c r="N123" s="7" t="str">
        <x:v>Firestoreの読み書き権限はSecurity Rulesで制御します。クライアントから直接アクセスする場合は特に重要です。</x:v>
      </x:c>
      <x:c r="O123" s="7" t="str">
        <x:v>実装判断</x:v>
      </x:c>
      <x:c r="P123" s="12" t="str">
        <x:v>Firestore,SecurityRules,注文更新</x:v>
      </x:c>
    </x:row>
    <x:row r="124" ht="74" customHeight="1">
      <x:c r="A124" s="11" t="str">
        <x:v>FSQ-123</x:v>
      </x:c>
      <x:c r="B124" s="7" t="str">
        <x:v>セキュリティルール</x:v>
      </x:c>
      <x:c r="C124" s="7" t="str">
        <x:v>中級</x:v>
      </x:c>
      <x:c r="D124" s="7" t="str">
        <x:v>4択</x:v>
      </x:c>
      <x:c r="E124" s="7" t="str">
        <x:v>注文削除をFirestoreで許可するか制御したい。本番で設定すべきものは？</x:v>
      </x:c>
      <x:c r="F124" s="7" t="str">
        <x:v>match /databases/{database}/documents { ... }</x:v>
      </x:c>
      <x:c r="G124" s="7" t="str">
        <x:v>CSSのdisplay:none</x:v>
      </x:c>
      <x:c r="H124" s="7" t="str">
        <x:v>HTMLコメント</x:v>
      </x:c>
      <x:c r="I124" s="7" t="str">
        <x:v>Security Rules</x:v>
      </x:c>
      <x:c r="J124" s="7" t="str">
        <x:v>favicon設定</x:v>
      </x:c>
      <x:c r="K124" s="16" t="n">
        <x:v>3</x:v>
      </x:c>
      <x:c r="L124" s="7" t="str">
        <x:v>Security Rules</x:v>
      </x:c>
      <x:c r="M124" s="7" t="str">
        <x:v>画面側の非表示だけでは保護になりません。</x:v>
      </x:c>
      <x:c r="N124" s="7" t="str">
        <x:v>Firestoreの読み書き権限はSecurity Rulesで制御します。クライアントから直接アクセスする場合は特に重要です。</x:v>
      </x:c>
      <x:c r="O124" s="7" t="str">
        <x:v>実装判断</x:v>
      </x:c>
      <x:c r="P124" s="12" t="str">
        <x:v>Firestore,SecurityRules,注文削除</x:v>
      </x:c>
    </x:row>
    <x:row r="125" ht="74" customHeight="1">
      <x:c r="A125" s="11" t="str">
        <x:v>FSQ-124</x:v>
      </x:c>
      <x:c r="B125" s="7" t="str">
        <x:v>セキュリティルール</x:v>
      </x:c>
      <x:c r="C125" s="7" t="str">
        <x:v>中級</x:v>
      </x:c>
      <x:c r="D125" s="7" t="str">
        <x:v>4択</x:v>
      </x:c>
      <x:c r="E125" s="7" t="str">
        <x:v>学習ログ閲覧をFirestoreで許可するか制御したい。本番で設定すべきものは？</x:v>
      </x:c>
      <x:c r="F125" s="7" t="str">
        <x:v>match /databases/{database}/documents { ... }</x:v>
      </x:c>
      <x:c r="G125" s="7" t="str">
        <x:v>CSSのdisplay:none</x:v>
      </x:c>
      <x:c r="H125" s="7" t="str">
        <x:v>HTMLコメント</x:v>
      </x:c>
      <x:c r="I125" s="7" t="str">
        <x:v>favicon設定</x:v>
      </x:c>
      <x:c r="J125" s="7" t="str">
        <x:v>Security Rules</x:v>
      </x:c>
      <x:c r="K125" s="16" t="n">
        <x:v>4</x:v>
      </x:c>
      <x:c r="L125" s="7" t="str">
        <x:v>Security Rules</x:v>
      </x:c>
      <x:c r="M125" s="7" t="str">
        <x:v>画面側の非表示だけでは保護になりません。</x:v>
      </x:c>
      <x:c r="N125" s="7" t="str">
        <x:v>Firestoreの読み書き権限はSecurity Rulesで制御します。クライアントから直接アクセスする場合は特に重要です。</x:v>
      </x:c>
      <x:c r="O125" s="7" t="str">
        <x:v>実装判断</x:v>
      </x:c>
      <x:c r="P125" s="12" t="str">
        <x:v>Firestore,SecurityRules,学習ログ閲覧</x:v>
      </x:c>
    </x:row>
    <x:row r="126" ht="74" customHeight="1">
      <x:c r="A126" s="11" t="str">
        <x:v>FSQ-125</x:v>
      </x:c>
      <x:c r="B126" s="7" t="str">
        <x:v>セキュリティルール</x:v>
      </x:c>
      <x:c r="C126" s="7" t="str">
        <x:v>応用</x:v>
      </x:c>
      <x:c r="D126" s="7" t="str">
        <x:v>4択</x:v>
      </x:c>
      <x:c r="E126" s="7" t="str">
        <x:v>問題マスタ編集をFirestoreで許可するか制御したい。本番で設定すべきものは？</x:v>
      </x:c>
      <x:c r="F126" s="7" t="str">
        <x:v>match /databases/{database}/documents { ... }</x:v>
      </x:c>
      <x:c r="G126" s="7" t="str">
        <x:v>Security Rules</x:v>
      </x:c>
      <x:c r="H126" s="7" t="str">
        <x:v>CSSのdisplay:none</x:v>
      </x:c>
      <x:c r="I126" s="7" t="str">
        <x:v>HTMLコメント</x:v>
      </x:c>
      <x:c r="J126" s="7" t="str">
        <x:v>favicon設定</x:v>
      </x:c>
      <x:c r="K126" s="16" t="n">
        <x:v>1</x:v>
      </x:c>
      <x:c r="L126" s="7" t="str">
        <x:v>Security Rules</x:v>
      </x:c>
      <x:c r="M126" s="7" t="str">
        <x:v>画面側の非表示だけでは保護になりません。</x:v>
      </x:c>
      <x:c r="N126" s="7" t="str">
        <x:v>Firestoreの読み書き権限はSecurity Rulesで制御します。クライアントから直接アクセスする場合は特に重要です。</x:v>
      </x:c>
      <x:c r="O126" s="7" t="str">
        <x:v>実装判断</x:v>
      </x:c>
      <x:c r="P126" s="12" t="str">
        <x:v>Firestore,SecurityRules,問題マスタ編集</x:v>
      </x:c>
    </x:row>
    <x:row r="127" ht="74" customHeight="1">
      <x:c r="A127" s="11" t="str">
        <x:v>FSQ-126</x:v>
      </x:c>
      <x:c r="B127" s="7" t="str">
        <x:v>セキュリティルール</x:v>
      </x:c>
      <x:c r="C127" s="7" t="str">
        <x:v>初級</x:v>
      </x:c>
      <x:c r="D127" s="7" t="str">
        <x:v>4択</x:v>
      </x:c>
      <x:c r="E127" s="7" t="str">
        <x:v>ユーザー進捗閲覧をFirestoreで許可するか制御したい。本番で設定すべきものは？</x:v>
      </x:c>
      <x:c r="F127" s="7" t="str">
        <x:v>match /databases/{database}/documents { ... }</x:v>
      </x:c>
      <x:c r="G127" s="7" t="str">
        <x:v>CSSのdisplay:none</x:v>
      </x:c>
      <x:c r="H127" s="7" t="str">
        <x:v>Security Rules</x:v>
      </x:c>
      <x:c r="I127" s="7" t="str">
        <x:v>HTMLコメント</x:v>
      </x:c>
      <x:c r="J127" s="7" t="str">
        <x:v>favicon設定</x:v>
      </x:c>
      <x:c r="K127" s="16" t="n">
        <x:v>2</x:v>
      </x:c>
      <x:c r="L127" s="7" t="str">
        <x:v>Security Rules</x:v>
      </x:c>
      <x:c r="M127" s="7" t="str">
        <x:v>画面側の非表示だけでは保護になりません。</x:v>
      </x:c>
      <x:c r="N127" s="7" t="str">
        <x:v>Firestoreの読み書き権限はSecurity Rulesで制御します。クライアントから直接アクセスする場合は特に重要です。</x:v>
      </x:c>
      <x:c r="O127" s="7" t="str">
        <x:v>実装判断</x:v>
      </x:c>
      <x:c r="P127" s="12" t="str">
        <x:v>Firestore,SecurityRules,ユーザー進捗閲覧</x:v>
      </x:c>
    </x:row>
    <x:row r="128" ht="74" customHeight="1">
      <x:c r="A128" s="11" t="str">
        <x:v>FSQ-127</x:v>
      </x:c>
      <x:c r="B128" s="7" t="str">
        <x:v>セキュリティルール</x:v>
      </x:c>
      <x:c r="C128" s="7" t="str">
        <x:v>初級</x:v>
      </x:c>
      <x:c r="D128" s="7" t="str">
        <x:v>4択</x:v>
      </x:c>
      <x:c r="E128" s="7" t="str">
        <x:v>メニュー更新をFirestoreで許可するか制御したい。本番で設定すべきものは？</x:v>
      </x:c>
      <x:c r="F128" s="7" t="str">
        <x:v>match /databases/{database}/documents { ... }</x:v>
      </x:c>
      <x:c r="G128" s="7" t="str">
        <x:v>CSSのdisplay:none</x:v>
      </x:c>
      <x:c r="H128" s="7" t="str">
        <x:v>HTMLコメント</x:v>
      </x:c>
      <x:c r="I128" s="7" t="str">
        <x:v>Security Rules</x:v>
      </x:c>
      <x:c r="J128" s="7" t="str">
        <x:v>favicon設定</x:v>
      </x:c>
      <x:c r="K128" s="16" t="n">
        <x:v>3</x:v>
      </x:c>
      <x:c r="L128" s="7" t="str">
        <x:v>Security Rules</x:v>
      </x:c>
      <x:c r="M128" s="7" t="str">
        <x:v>画面側の非表示だけでは保護になりません。</x:v>
      </x:c>
      <x:c r="N128" s="7" t="str">
        <x:v>Firestoreの読み書き権限はSecurity Rulesで制御します。クライアントから直接アクセスする場合は特に重要です。</x:v>
      </x:c>
      <x:c r="O128" s="7" t="str">
        <x:v>実装判断</x:v>
      </x:c>
      <x:c r="P128" s="12" t="str">
        <x:v>Firestore,SecurityRules,メニュー更新</x:v>
      </x:c>
    </x:row>
    <x:row r="129" ht="74" customHeight="1">
      <x:c r="A129" s="11" t="str">
        <x:v>FSQ-128</x:v>
      </x:c>
      <x:c r="B129" s="7" t="str">
        <x:v>セキュリティルール</x:v>
      </x:c>
      <x:c r="C129" s="7" t="str">
        <x:v>中級</x:v>
      </x:c>
      <x:c r="D129" s="7" t="str">
        <x:v>4択</x:v>
      </x:c>
      <x:c r="E129" s="7" t="str">
        <x:v>スタッフ情報閲覧をFirestoreで許可するか制御したい。本番で設定すべきものは？</x:v>
      </x:c>
      <x:c r="F129" s="7" t="str">
        <x:v>match /databases/{database}/documents { ... }</x:v>
      </x:c>
      <x:c r="G129" s="7" t="str">
        <x:v>CSSのdisplay:none</x:v>
      </x:c>
      <x:c r="H129" s="7" t="str">
        <x:v>HTMLコメント</x:v>
      </x:c>
      <x:c r="I129" s="7" t="str">
        <x:v>favicon設定</x:v>
      </x:c>
      <x:c r="J129" s="7" t="str">
        <x:v>Security Rules</x:v>
      </x:c>
      <x:c r="K129" s="16" t="n">
        <x:v>4</x:v>
      </x:c>
      <x:c r="L129" s="7" t="str">
        <x:v>Security Rules</x:v>
      </x:c>
      <x:c r="M129" s="7" t="str">
        <x:v>画面側の非表示だけでは保護になりません。</x:v>
      </x:c>
      <x:c r="N129" s="7" t="str">
        <x:v>Firestoreの読み書き権限はSecurity Rulesで制御します。クライアントから直接アクセスする場合は特に重要です。</x:v>
      </x:c>
      <x:c r="O129" s="7" t="str">
        <x:v>実装判断</x:v>
      </x:c>
      <x:c r="P129" s="12" t="str">
        <x:v>Firestore,SecurityRules,スタッフ情報閲覧</x:v>
      </x:c>
    </x:row>
    <x:row r="130" ht="74" customHeight="1">
      <x:c r="A130" s="11" t="str">
        <x:v>FSQ-129</x:v>
      </x:c>
      <x:c r="B130" s="7" t="str">
        <x:v>パフォーマンス</x:v>
      </x:c>
      <x:c r="C130" s="7" t="str">
        <x:v>中級</x:v>
      </x:c>
      <x:c r="D130" s="7" t="str">
        <x:v>4択</x:v>
      </x:c>
      <x:c r="E130" s="7" t="str">
        <x:v>大量注文一覧をFirestoreから表示するとき、読み取り量を抑える基本方針は？</x:v>
      </x:c>
      <x:c r="F130" s="7" t="str">
        <x:v>query(ref, orderBy('createdAt', 'desc'), limit(20));</x:v>
      </x:c>
      <x:c r="G130" s="7" t="str">
        <x:v>whereやlimitで必要な範囲だけ取得する</x:v>
      </x:c>
      <x:c r="H130" s="7" t="str">
        <x:v>毎回全ドキュメントを読む</x:v>
      </x:c>
      <x:c r="I130" s="7" t="str">
        <x:v>画像として保存する</x:v>
      </x:c>
      <x:c r="J130" s="7" t="str">
        <x:v>CSSで非表示にする</x:v>
      </x:c>
      <x:c r="K130" s="16" t="n">
        <x:v>1</x:v>
      </x:c>
      <x:c r="L130" s="7" t="str">
        <x:v>whereやlimitで必要な範囲だけ取得する</x:v>
      </x:c>
      <x:c r="M130" s="7" t="str">
        <x:v>Firestoreは読み取ったドキュメント数が重要です。</x:v>
      </x:c>
      <x:c r="N130" s="7" t="str">
        <x:v>必要な条件で絞り込み、limitで件数を抑えると、表示速度と読み取りコストを管理しやすくなります。</x:v>
      </x:c>
      <x:c r="O130" s="7" t="str">
        <x:v>全範囲</x:v>
      </x:c>
      <x:c r="P130" s="12" t="str">
        <x:v>Firestore,performance,大量注文一覧</x:v>
      </x:c>
    </x:row>
    <x:row r="131" ht="74" customHeight="1">
      <x:c r="A131" s="11" t="str">
        <x:v>FSQ-130</x:v>
      </x:c>
      <x:c r="B131" s="7" t="str">
        <x:v>パフォーマンス</x:v>
      </x:c>
      <x:c r="C131" s="7" t="str">
        <x:v>応用</x:v>
      </x:c>
      <x:c r="D131" s="7" t="str">
        <x:v>4択</x:v>
      </x:c>
      <x:c r="E131" s="7" t="str">
        <x:v>最新履歴をFirestoreから表示するとき、読み取り量を抑える基本方針は？</x:v>
      </x:c>
      <x:c r="F131" s="7" t="str">
        <x:v>query(ref, orderBy('createdAt', 'desc'), limit(20));</x:v>
      </x:c>
      <x:c r="G131" s="7" t="str">
        <x:v>毎回全ドキュメントを読む</x:v>
      </x:c>
      <x:c r="H131" s="7" t="str">
        <x:v>whereやlimitで必要な範囲だけ取得する</x:v>
      </x:c>
      <x:c r="I131" s="7" t="str">
        <x:v>画像として保存する</x:v>
      </x:c>
      <x:c r="J131" s="7" t="str">
        <x:v>CSSで非表示にする</x:v>
      </x:c>
      <x:c r="K131" s="16" t="n">
        <x:v>2</x:v>
      </x:c>
      <x:c r="L131" s="7" t="str">
        <x:v>whereやlimitで必要な範囲だけ取得する</x:v>
      </x:c>
      <x:c r="M131" s="7" t="str">
        <x:v>Firestoreは読み取ったドキュメント数が重要です。</x:v>
      </x:c>
      <x:c r="N131" s="7" t="str">
        <x:v>必要な条件で絞り込み、limitで件数を抑えると、表示速度と読み取りコストを管理しやすくなります。</x:v>
      </x:c>
      <x:c r="O131" s="7" t="str">
        <x:v>全範囲</x:v>
      </x:c>
      <x:c r="P131" s="12" t="str">
        <x:v>Firestore,performance,最新履歴</x:v>
      </x:c>
    </x:row>
    <x:row r="132" ht="74" customHeight="1">
      <x:c r="A132" s="11" t="str">
        <x:v>FSQ-131</x:v>
      </x:c>
      <x:c r="B132" s="7" t="str">
        <x:v>パフォーマンス</x:v>
      </x:c>
      <x:c r="C132" s="7" t="str">
        <x:v>初級</x:v>
      </x:c>
      <x:c r="D132" s="7" t="str">
        <x:v>4択</x:v>
      </x:c>
      <x:c r="E132" s="7" t="str">
        <x:v>カテゴリ別問題をFirestoreから表示するとき、読み取り量を抑える基本方針は？</x:v>
      </x:c>
      <x:c r="F132" s="7" t="str">
        <x:v>query(ref, orderBy('createdAt', 'desc'), limit(20));</x:v>
      </x:c>
      <x:c r="G132" s="7" t="str">
        <x:v>毎回全ドキュメントを読む</x:v>
      </x:c>
      <x:c r="H132" s="7" t="str">
        <x:v>画像として保存する</x:v>
      </x:c>
      <x:c r="I132" s="7" t="str">
        <x:v>whereやlimitで必要な範囲だけ取得する</x:v>
      </x:c>
      <x:c r="J132" s="7" t="str">
        <x:v>CSSで非表示にする</x:v>
      </x:c>
      <x:c r="K132" s="16" t="n">
        <x:v>3</x:v>
      </x:c>
      <x:c r="L132" s="7" t="str">
        <x:v>whereやlimitで必要な範囲だけ取得する</x:v>
      </x:c>
      <x:c r="M132" s="7" t="str">
        <x:v>Firestoreは読み取ったドキュメント数が重要です。</x:v>
      </x:c>
      <x:c r="N132" s="7" t="str">
        <x:v>必要な条件で絞り込み、limitで件数を抑えると、表示速度と読み取りコストを管理しやすくなります。</x:v>
      </x:c>
      <x:c r="O132" s="7" t="str">
        <x:v>全範囲</x:v>
      </x:c>
      <x:c r="P132" s="12" t="str">
        <x:v>Firestore,performance,カテゴリ別問題</x:v>
      </x:c>
    </x:row>
    <x:row r="133" ht="74" customHeight="1">
      <x:c r="A133" s="11" t="str">
        <x:v>FSQ-132</x:v>
      </x:c>
      <x:c r="B133" s="7" t="str">
        <x:v>パフォーマンス</x:v>
      </x:c>
      <x:c r="C133" s="7" t="str">
        <x:v>初級</x:v>
      </x:c>
      <x:c r="D133" s="7" t="str">
        <x:v>4択</x:v>
      </x:c>
      <x:c r="E133" s="7" t="str">
        <x:v>ユーザー別ログをFirestoreから表示するとき、読み取り量を抑える基本方針は？</x:v>
      </x:c>
      <x:c r="F133" s="7" t="str">
        <x:v>query(ref, orderBy('createdAt', 'desc'), limit(20));</x:v>
      </x:c>
      <x:c r="G133" s="7" t="str">
        <x:v>毎回全ドキュメントを読む</x:v>
      </x:c>
      <x:c r="H133" s="7" t="str">
        <x:v>画像として保存する</x:v>
      </x:c>
      <x:c r="I133" s="7" t="str">
        <x:v>CSSで非表示にする</x:v>
      </x:c>
      <x:c r="J133" s="7" t="str">
        <x:v>whereやlimitで必要な範囲だけ取得する</x:v>
      </x:c>
      <x:c r="K133" s="16" t="n">
        <x:v>4</x:v>
      </x:c>
      <x:c r="L133" s="7" t="str">
        <x:v>whereやlimitで必要な範囲だけ取得する</x:v>
      </x:c>
      <x:c r="M133" s="7" t="str">
        <x:v>Firestoreは読み取ったドキュメント数が重要です。</x:v>
      </x:c>
      <x:c r="N133" s="7" t="str">
        <x:v>必要な条件で絞り込み、limitで件数を抑えると、表示速度と読み取りコストを管理しやすくなります。</x:v>
      </x:c>
      <x:c r="O133" s="7" t="str">
        <x:v>全範囲</x:v>
      </x:c>
      <x:c r="P133" s="12" t="str">
        <x:v>Firestore,performance,ユーザー別ログ</x:v>
      </x:c>
    </x:row>
    <x:row r="134" ht="74" customHeight="1">
      <x:c r="A134" s="11" t="str">
        <x:v>FSQ-133</x:v>
      </x:c>
      <x:c r="B134" s="7" t="str">
        <x:v>パフォーマンス</x:v>
      </x:c>
      <x:c r="C134" s="7" t="str">
        <x:v>中級</x:v>
      </x:c>
      <x:c r="D134" s="7" t="str">
        <x:v>4択</x:v>
      </x:c>
      <x:c r="E134" s="7" t="str">
        <x:v>提供済み一覧をFirestoreから表示するとき、読み取り量を抑える基本方針は？</x:v>
      </x:c>
      <x:c r="F134" s="7" t="str">
        <x:v>query(ref, orderBy('createdAt', 'desc'), limit(20));</x:v>
      </x:c>
      <x:c r="G134" s="7" t="str">
        <x:v>whereやlimitで必要な範囲だけ取得する</x:v>
      </x:c>
      <x:c r="H134" s="7" t="str">
        <x:v>毎回全ドキュメントを読む</x:v>
      </x:c>
      <x:c r="I134" s="7" t="str">
        <x:v>画像として保存する</x:v>
      </x:c>
      <x:c r="J134" s="7" t="str">
        <x:v>CSSで非表示にする</x:v>
      </x:c>
      <x:c r="K134" s="16" t="n">
        <x:v>1</x:v>
      </x:c>
      <x:c r="L134" s="7" t="str">
        <x:v>whereやlimitで必要な範囲だけ取得する</x:v>
      </x:c>
      <x:c r="M134" s="7" t="str">
        <x:v>Firestoreは読み取ったドキュメント数が重要です。</x:v>
      </x:c>
      <x:c r="N134" s="7" t="str">
        <x:v>必要な条件で絞り込み、limitで件数を抑えると、表示速度と読み取りコストを管理しやすくなります。</x:v>
      </x:c>
      <x:c r="O134" s="7" t="str">
        <x:v>全範囲</x:v>
      </x:c>
      <x:c r="P134" s="12" t="str">
        <x:v>Firestore,performance,提供済み一覧</x:v>
      </x:c>
    </x:row>
    <x:row r="135" ht="74" customHeight="1">
      <x:c r="A135" s="11" t="str">
        <x:v>FSQ-134</x:v>
      </x:c>
      <x:c r="B135" s="7" t="str">
        <x:v>パフォーマンス</x:v>
      </x:c>
      <x:c r="C135" s="7" t="str">
        <x:v>中級</x:v>
      </x:c>
      <x:c r="D135" s="7" t="str">
        <x:v>4択</x:v>
      </x:c>
      <x:c r="E135" s="7" t="str">
        <x:v>KDS待ち一覧をFirestoreから表示するとき、読み取り量を抑える基本方針は？</x:v>
      </x:c>
      <x:c r="F135" s="7" t="str">
        <x:v>query(ref, orderBy('createdAt', 'desc'), limit(20));</x:v>
      </x:c>
      <x:c r="G135" s="7" t="str">
        <x:v>毎回全ドキュメントを読む</x:v>
      </x:c>
      <x:c r="H135" s="7" t="str">
        <x:v>whereやlimitで必要な範囲だけ取得する</x:v>
      </x:c>
      <x:c r="I135" s="7" t="str">
        <x:v>画像として保存する</x:v>
      </x:c>
      <x:c r="J135" s="7" t="str">
        <x:v>CSSで非表示にする</x:v>
      </x:c>
      <x:c r="K135" s="16" t="n">
        <x:v>2</x:v>
      </x:c>
      <x:c r="L135" s="7" t="str">
        <x:v>whereやlimitで必要な範囲だけ取得する</x:v>
      </x:c>
      <x:c r="M135" s="7" t="str">
        <x:v>Firestoreは読み取ったドキュメント数が重要です。</x:v>
      </x:c>
      <x:c r="N135" s="7" t="str">
        <x:v>必要な条件で絞り込み、limitで件数を抑えると、表示速度と読み取りコストを管理しやすくなります。</x:v>
      </x:c>
      <x:c r="O135" s="7" t="str">
        <x:v>全範囲</x:v>
      </x:c>
      <x:c r="P135" s="12" t="str">
        <x:v>Firestore,performance,KDS待ち一覧</x:v>
      </x:c>
    </x:row>
    <x:row r="136" ht="74" customHeight="1">
      <x:c r="A136" s="11" t="str">
        <x:v>FSQ-135</x:v>
      </x:c>
      <x:c r="B136" s="7" t="str">
        <x:v>パフォーマンス</x:v>
      </x:c>
      <x:c r="C136" s="7" t="str">
        <x:v>応用</x:v>
      </x:c>
      <x:c r="D136" s="7" t="str">
        <x:v>4択</x:v>
      </x:c>
      <x:c r="E136" s="7" t="str">
        <x:v>ランキングをFirestoreから表示するとき、読み取り量を抑える基本方針は？</x:v>
      </x:c>
      <x:c r="F136" s="7" t="str">
        <x:v>query(ref, orderBy('createdAt', 'desc'), limit(20));</x:v>
      </x:c>
      <x:c r="G136" s="7" t="str">
        <x:v>毎回全ドキュメントを読む</x:v>
      </x:c>
      <x:c r="H136" s="7" t="str">
        <x:v>画像として保存する</x:v>
      </x:c>
      <x:c r="I136" s="7" t="str">
        <x:v>whereやlimitで必要な範囲だけ取得する</x:v>
      </x:c>
      <x:c r="J136" s="7" t="str">
        <x:v>CSSで非表示にする</x:v>
      </x:c>
      <x:c r="K136" s="16" t="n">
        <x:v>3</x:v>
      </x:c>
      <x:c r="L136" s="7" t="str">
        <x:v>whereやlimitで必要な範囲だけ取得する</x:v>
      </x:c>
      <x:c r="M136" s="7" t="str">
        <x:v>Firestoreは読み取ったドキュメント数が重要です。</x:v>
      </x:c>
      <x:c r="N136" s="7" t="str">
        <x:v>必要な条件で絞り込み、limitで件数を抑えると、表示速度と読み取りコストを管理しやすくなります。</x:v>
      </x:c>
      <x:c r="O136" s="7" t="str">
        <x:v>全範囲</x:v>
      </x:c>
      <x:c r="P136" s="12" t="str">
        <x:v>Firestore,performance,ランキング</x:v>
      </x:c>
    </x:row>
    <x:row r="137" ht="74" customHeight="1">
      <x:c r="A137" s="11" t="str">
        <x:v>FSQ-136</x:v>
      </x:c>
      <x:c r="B137" s="7" t="str">
        <x:v>パフォーマンス</x:v>
      </x:c>
      <x:c r="C137" s="7" t="str">
        <x:v>初級</x:v>
      </x:c>
      <x:c r="D137" s="7" t="str">
        <x:v>4択</x:v>
      </x:c>
      <x:c r="E137" s="7" t="str">
        <x:v>検索結果をFirestoreから表示するとき、読み取り量を抑える基本方針は？</x:v>
      </x:c>
      <x:c r="F137" s="7" t="str">
        <x:v>query(ref, orderBy('createdAt', 'desc'), limit(20));</x:v>
      </x:c>
      <x:c r="G137" s="7" t="str">
        <x:v>毎回全ドキュメントを読む</x:v>
      </x:c>
      <x:c r="H137" s="7" t="str">
        <x:v>画像として保存する</x:v>
      </x:c>
      <x:c r="I137" s="7" t="str">
        <x:v>CSSで非表示にする</x:v>
      </x:c>
      <x:c r="J137" s="7" t="str">
        <x:v>whereやlimitで必要な範囲だけ取得する</x:v>
      </x:c>
      <x:c r="K137" s="16" t="n">
        <x:v>4</x:v>
      </x:c>
      <x:c r="L137" s="7" t="str">
        <x:v>whereやlimitで必要な範囲だけ取得する</x:v>
      </x:c>
      <x:c r="M137" s="7" t="str">
        <x:v>Firestoreは読み取ったドキュメント数が重要です。</x:v>
      </x:c>
      <x:c r="N137" s="7" t="str">
        <x:v>必要な条件で絞り込み、limitで件数を抑えると、表示速度と読み取りコストを管理しやすくなります。</x:v>
      </x:c>
      <x:c r="O137" s="7" t="str">
        <x:v>全範囲</x:v>
      </x:c>
      <x:c r="P137" s="12" t="str">
        <x:v>Firestore,performance,検索結果</x:v>
      </x:c>
    </x:row>
    <x:row r="138" ht="74" customHeight="1">
      <x:c r="A138" s="11" t="str">
        <x:v>FSQ-137</x:v>
      </x:c>
      <x:c r="B138" s="7" t="str">
        <x:v>エラーハンドリング</x:v>
      </x:c>
      <x:c r="C138" s="7" t="str">
        <x:v>初級</x:v>
      </x:c>
      <x:c r="D138" s="7" t="str">
        <x:v>4択</x:v>
      </x:c>
      <x:c r="E138" s="7" t="str">
        <x:v>Firestore操作で「権限不足」が起きた。実装として重要な対応は？</x:v>
      </x:c>
      <x:c r="F138" s="7" t="str">
        <x:v>try { await updateDoc(ref, data); } catch (error) { ... }</x:v>
      </x:c>
      <x:c r="G138" s="7" t="str">
        <x:v>catchで失敗を扱い、原因に応じた表示や再試行を行う</x:v>
      </x:c>
      <x:c r="H138" s="7" t="str">
        <x:v>常に成功扱いにする</x:v>
      </x:c>
      <x:c r="I138" s="7" t="str">
        <x:v>何も表示しない</x:v>
      </x:c>
      <x:c r="J138" s="7" t="str">
        <x:v>無関係なドキュメントを削除する</x:v>
      </x:c>
      <x:c r="K138" s="16" t="n">
        <x:v>1</x:v>
      </x:c>
      <x:c r="L138" s="7" t="str">
        <x:v>catchで失敗を扱い、原因に応じた表示や再試行を行う</x:v>
      </x:c>
      <x:c r="M138" s="7" t="str">
        <x:v>通信や権限の失敗は起こる前提で扱います。</x:v>
      </x:c>
      <x:c r="N138" s="7" t="str">
        <x:v>Firestore操作はネットワーク、権限、インデックス、データ型などで失敗します。catchで扱い、ユーザーに分かる形で伝えることが大切です。</x:v>
      </x:c>
      <x:c r="O138" s="7" t="str">
        <x:v>全範囲</x:v>
      </x:c>
      <x:c r="P138" s="12" t="str">
        <x:v>Firestore,error,権限不足</x:v>
      </x:c>
    </x:row>
    <x:row r="139" ht="74" customHeight="1">
      <x:c r="A139" s="11" t="str">
        <x:v>FSQ-138</x:v>
      </x:c>
      <x:c r="B139" s="7" t="str">
        <x:v>エラーハンドリング</x:v>
      </x:c>
      <x:c r="C139" s="7" t="str">
        <x:v>中級</x:v>
      </x:c>
      <x:c r="D139" s="7" t="str">
        <x:v>4択</x:v>
      </x:c>
      <x:c r="E139" s="7" t="str">
        <x:v>Firestore操作で「インデックス不足」が起きた。実装として重要な対応は？</x:v>
      </x:c>
      <x:c r="F139" s="7" t="str">
        <x:v>try { await updateDoc(ref, data); } catch (error) { ... }</x:v>
      </x:c>
      <x:c r="G139" s="7" t="str">
        <x:v>常に成功扱いにする</x:v>
      </x:c>
      <x:c r="H139" s="7" t="str">
        <x:v>catchで失敗を扱い、原因に応じた表示や再試行を行う</x:v>
      </x:c>
      <x:c r="I139" s="7" t="str">
        <x:v>何も表示しない</x:v>
      </x:c>
      <x:c r="J139" s="7" t="str">
        <x:v>無関係なドキュメントを削除する</x:v>
      </x:c>
      <x:c r="K139" s="16" t="n">
        <x:v>2</x:v>
      </x:c>
      <x:c r="L139" s="7" t="str">
        <x:v>catchで失敗を扱い、原因に応じた表示や再試行を行う</x:v>
      </x:c>
      <x:c r="M139" s="7" t="str">
        <x:v>通信や権限の失敗は起こる前提で扱います。</x:v>
      </x:c>
      <x:c r="N139" s="7" t="str">
        <x:v>Firestore操作はネットワーク、権限、インデックス、データ型などで失敗します。catchで扱い、ユーザーに分かる形で伝えることが大切です。</x:v>
      </x:c>
      <x:c r="O139" s="7" t="str">
        <x:v>全範囲</x:v>
      </x:c>
      <x:c r="P139" s="12" t="str">
        <x:v>Firestore,error,インデックス不足</x:v>
      </x:c>
    </x:row>
    <x:row r="140" ht="74" customHeight="1">
      <x:c r="A140" s="11" t="str">
        <x:v>FSQ-139</x:v>
      </x:c>
      <x:c r="B140" s="7" t="str">
        <x:v>エラーハンドリング</x:v>
      </x:c>
      <x:c r="C140" s="7" t="str">
        <x:v>中級</x:v>
      </x:c>
      <x:c r="D140" s="7" t="str">
        <x:v>4択</x:v>
      </x:c>
      <x:c r="E140" s="7" t="str">
        <x:v>Firestore操作で「ネットワーク切断」が起きた。実装として重要な対応は？</x:v>
      </x:c>
      <x:c r="F140" s="7" t="str">
        <x:v>try { await updateDoc(ref, data); } catch (error) { ... }</x:v>
      </x:c>
      <x:c r="G140" s="7" t="str">
        <x:v>常に成功扱いにする</x:v>
      </x:c>
      <x:c r="H140" s="7" t="str">
        <x:v>何も表示しない</x:v>
      </x:c>
      <x:c r="I140" s="7" t="str">
        <x:v>catchで失敗を扱い、原因に応じた表示や再試行を行う</x:v>
      </x:c>
      <x:c r="J140" s="7" t="str">
        <x:v>無関係なドキュメントを削除する</x:v>
      </x:c>
      <x:c r="K140" s="16" t="n">
        <x:v>3</x:v>
      </x:c>
      <x:c r="L140" s="7" t="str">
        <x:v>catchで失敗を扱い、原因に応じた表示や再試行を行う</x:v>
      </x:c>
      <x:c r="M140" s="7" t="str">
        <x:v>通信や権限の失敗は起こる前提で扱います。</x:v>
      </x:c>
      <x:c r="N140" s="7" t="str">
        <x:v>Firestore操作はネットワーク、権限、インデックス、データ型などで失敗します。catchで扱い、ユーザーに分かる形で伝えることが大切です。</x:v>
      </x:c>
      <x:c r="O140" s="7" t="str">
        <x:v>全範囲</x:v>
      </x:c>
      <x:c r="P140" s="12" t="str">
        <x:v>Firestore,error,ネットワーク切断</x:v>
      </x:c>
    </x:row>
    <x:row r="141" ht="74" customHeight="1">
      <x:c r="A141" s="11" t="str">
        <x:v>FSQ-140</x:v>
      </x:c>
      <x:c r="B141" s="7" t="str">
        <x:v>エラーハンドリング</x:v>
      </x:c>
      <x:c r="C141" s="7" t="str">
        <x:v>応用</x:v>
      </x:c>
      <x:c r="D141" s="7" t="str">
        <x:v>4択</x:v>
      </x:c>
      <x:c r="E141" s="7" t="str">
        <x:v>Firestore操作で「ドキュメントなし」が起きた。実装として重要な対応は？</x:v>
      </x:c>
      <x:c r="F141" s="7" t="str">
        <x:v>try { await updateDoc(ref, data); } catch (error) { ... }</x:v>
      </x:c>
      <x:c r="G141" s="7" t="str">
        <x:v>常に成功扱いにする</x:v>
      </x:c>
      <x:c r="H141" s="7" t="str">
        <x:v>何も表示しない</x:v>
      </x:c>
      <x:c r="I141" s="7" t="str">
        <x:v>無関係なドキュメントを削除する</x:v>
      </x:c>
      <x:c r="J141" s="7" t="str">
        <x:v>catchで失敗を扱い、原因に応じた表示や再試行を行う</x:v>
      </x:c>
      <x:c r="K141" s="16" t="n">
        <x:v>4</x:v>
      </x:c>
      <x:c r="L141" s="7" t="str">
        <x:v>catchで失敗を扱い、原因に応じた表示や再試行を行う</x:v>
      </x:c>
      <x:c r="M141" s="7" t="str">
        <x:v>通信や権限の失敗は起こる前提で扱います。</x:v>
      </x:c>
      <x:c r="N141" s="7" t="str">
        <x:v>Firestore操作はネットワーク、権限、インデックス、データ型などで失敗します。catchで扱い、ユーザーに分かる形で伝えることが大切です。</x:v>
      </x:c>
      <x:c r="O141" s="7" t="str">
        <x:v>全範囲</x:v>
      </x:c>
      <x:c r="P141" s="12" t="str">
        <x:v>Firestore,error,ドキュメントなし</x:v>
      </x:c>
    </x:row>
    <x:row r="142" ht="74" customHeight="1">
      <x:c r="A142" s="11" t="str">
        <x:v>FSQ-141</x:v>
      </x:c>
      <x:c r="B142" s="7" t="str">
        <x:v>エラーハンドリング</x:v>
      </x:c>
      <x:c r="C142" s="7" t="str">
        <x:v>初級</x:v>
      </x:c>
      <x:c r="D142" s="7" t="str">
        <x:v>4択</x:v>
      </x:c>
      <x:c r="E142" s="7" t="str">
        <x:v>Firestore操作で「型違い」が起きた。実装として重要な対応は？</x:v>
      </x:c>
      <x:c r="F142" s="7" t="str">
        <x:v>try { await updateDoc(ref, data); } catch (error) { ... }</x:v>
      </x:c>
      <x:c r="G142" s="7" t="str">
        <x:v>catchで失敗を扱い、原因に応じた表示や再試行を行う</x:v>
      </x:c>
      <x:c r="H142" s="7" t="str">
        <x:v>常に成功扱いにする</x:v>
      </x:c>
      <x:c r="I142" s="7" t="str">
        <x:v>何も表示しない</x:v>
      </x:c>
      <x:c r="J142" s="7" t="str">
        <x:v>無関係なドキュメントを削除する</x:v>
      </x:c>
      <x:c r="K142" s="16" t="n">
        <x:v>1</x:v>
      </x:c>
      <x:c r="L142" s="7" t="str">
        <x:v>catchで失敗を扱い、原因に応じた表示や再試行を行う</x:v>
      </x:c>
      <x:c r="M142" s="7" t="str">
        <x:v>通信や権限の失敗は起こる前提で扱います。</x:v>
      </x:c>
      <x:c r="N142" s="7" t="str">
        <x:v>Firestore操作はネットワーク、権限、インデックス、データ型などで失敗します。catchで扱い、ユーザーに分かる形で伝えることが大切です。</x:v>
      </x:c>
      <x:c r="O142" s="7" t="str">
        <x:v>全範囲</x:v>
      </x:c>
      <x:c r="P142" s="12" t="str">
        <x:v>Firestore,error,型違い</x:v>
      </x:c>
    </x:row>
    <x:row r="143" ht="74" customHeight="1">
      <x:c r="A143" s="11" t="str">
        <x:v>FSQ-142</x:v>
      </x:c>
      <x:c r="B143" s="7" t="str">
        <x:v>エラーハンドリング</x:v>
      </x:c>
      <x:c r="C143" s="7" t="str">
        <x:v>初級</x:v>
      </x:c>
      <x:c r="D143" s="7" t="str">
        <x:v>4択</x:v>
      </x:c>
      <x:c r="E143" s="7" t="str">
        <x:v>Firestore操作で「不正なパス」が起きた。実装として重要な対応は？</x:v>
      </x:c>
      <x:c r="F143" s="7" t="str">
        <x:v>try { await updateDoc(ref, data); } catch (error) { ... }</x:v>
      </x:c>
      <x:c r="G143" s="7" t="str">
        <x:v>常に成功扱いにする</x:v>
      </x:c>
      <x:c r="H143" s="7" t="str">
        <x:v>catchで失敗を扱い、原因に応じた表示や再試行を行う</x:v>
      </x:c>
      <x:c r="I143" s="7" t="str">
        <x:v>何も表示しない</x:v>
      </x:c>
      <x:c r="J143" s="7" t="str">
        <x:v>無関係なドキュメントを削除する</x:v>
      </x:c>
      <x:c r="K143" s="16" t="n">
        <x:v>2</x:v>
      </x:c>
      <x:c r="L143" s="7" t="str">
        <x:v>catchで失敗を扱い、原因に応じた表示や再試行を行う</x:v>
      </x:c>
      <x:c r="M143" s="7" t="str">
        <x:v>通信や権限の失敗は起こる前提で扱います。</x:v>
      </x:c>
      <x:c r="N143" s="7" t="str">
        <x:v>Firestore操作はネットワーク、権限、インデックス、データ型などで失敗します。catchで扱い、ユーザーに分かる形で伝えることが大切です。</x:v>
      </x:c>
      <x:c r="O143" s="7" t="str">
        <x:v>全範囲</x:v>
      </x:c>
      <x:c r="P143" s="12" t="str">
        <x:v>Firestore,error,不正なパス</x:v>
      </x:c>
    </x:row>
    <x:row r="144" ht="74" customHeight="1">
      <x:c r="A144" s="11" t="str">
        <x:v>FSQ-143</x:v>
      </x:c>
      <x:c r="B144" s="7" t="str">
        <x:v>エラーハンドリング</x:v>
      </x:c>
      <x:c r="C144" s="7" t="str">
        <x:v>中級</x:v>
      </x:c>
      <x:c r="D144" s="7" t="str">
        <x:v>4択</x:v>
      </x:c>
      <x:c r="E144" s="7" t="str">
        <x:v>Firestore操作で「初期化漏れ」が起きた。実装として重要な対応は？</x:v>
      </x:c>
      <x:c r="F144" s="7" t="str">
        <x:v>try { await updateDoc(ref, data); } catch (error) { ... }</x:v>
      </x:c>
      <x:c r="G144" s="7" t="str">
        <x:v>常に成功扱いにする</x:v>
      </x:c>
      <x:c r="H144" s="7" t="str">
        <x:v>何も表示しない</x:v>
      </x:c>
      <x:c r="I144" s="7" t="str">
        <x:v>catchで失敗を扱い、原因に応じた表示や再試行を行う</x:v>
      </x:c>
      <x:c r="J144" s="7" t="str">
        <x:v>無関係なドキュメントを削除する</x:v>
      </x:c>
      <x:c r="K144" s="16" t="n">
        <x:v>3</x:v>
      </x:c>
      <x:c r="L144" s="7" t="str">
        <x:v>catchで失敗を扱い、原因に応じた表示や再試行を行う</x:v>
      </x:c>
      <x:c r="M144" s="7" t="str">
        <x:v>通信や権限の失敗は起こる前提で扱います。</x:v>
      </x:c>
      <x:c r="N144" s="7" t="str">
        <x:v>Firestore操作はネットワーク、権限、インデックス、データ型などで失敗します。catchで扱い、ユーザーに分かる形で伝えることが大切です。</x:v>
      </x:c>
      <x:c r="O144" s="7" t="str">
        <x:v>全範囲</x:v>
      </x:c>
      <x:c r="P144" s="12" t="str">
        <x:v>Firestore,error,初期化漏れ</x:v>
      </x:c>
    </x:row>
    <x:row r="145" ht="74" customHeight="1">
      <x:c r="A145" s="11" t="str">
        <x:v>FSQ-144</x:v>
      </x:c>
      <x:c r="B145" s="7" t="str">
        <x:v>エラーハンドリング</x:v>
      </x:c>
      <x:c r="C145" s="7" t="str">
        <x:v>中級</x:v>
      </x:c>
      <x:c r="D145" s="7" t="str">
        <x:v>4択</x:v>
      </x:c>
      <x:c r="E145" s="7" t="str">
        <x:v>Firestore操作で「同時更新失敗」が起きた。実装として重要な対応は？</x:v>
      </x:c>
      <x:c r="F145" s="7" t="str">
        <x:v>try { await updateDoc(ref, data); } catch (error) { ... }</x:v>
      </x:c>
      <x:c r="G145" s="7" t="str">
        <x:v>常に成功扱いにする</x:v>
      </x:c>
      <x:c r="H145" s="7" t="str">
        <x:v>何も表示しない</x:v>
      </x:c>
      <x:c r="I145" s="7" t="str">
        <x:v>無関係なドキュメントを削除する</x:v>
      </x:c>
      <x:c r="J145" s="7" t="str">
        <x:v>catchで失敗を扱い、原因に応じた表示や再試行を行う</x:v>
      </x:c>
      <x:c r="K145" s="16" t="n">
        <x:v>4</x:v>
      </x:c>
      <x:c r="L145" s="7" t="str">
        <x:v>catchで失敗を扱い、原因に応じた表示や再試行を行う</x:v>
      </x:c>
      <x:c r="M145" s="7" t="str">
        <x:v>通信や権限の失敗は起こる前提で扱います。</x:v>
      </x:c>
      <x:c r="N145" s="7" t="str">
        <x:v>Firestore操作はネットワーク、権限、インデックス、データ型などで失敗します。catchで扱い、ユーザーに分かる形で伝えることが大切です。</x:v>
      </x:c>
      <x:c r="O145" s="7" t="str">
        <x:v>全範囲</x:v>
      </x:c>
      <x:c r="P145" s="12" t="str">
        <x:v>Firestore,error,同時更新失敗</x:v>
      </x:c>
    </x:row>
    <x:row r="146" ht="74" customHeight="1">
      <x:c r="A146" s="11" t="str">
        <x:v>FSQ-145</x:v>
      </x:c>
      <x:c r="B146" s="7" t="str">
        <x:v>オフライン対応</x:v>
      </x:c>
      <x:c r="C146" s="7" t="str">
        <x:v>応用</x:v>
      </x:c>
      <x:c r="D146" s="7" t="str">
        <x:v>4択</x:v>
      </x:c>
      <x:c r="E146" s="7" t="str">
        <x:v>注文作成を通信が不安定な環境で扱うとき、Firestore利用時に意識したいことは？</x:v>
      </x:c>
      <x:c r="F146" s="7" t="str"/>
      <x:c r="G146" s="7" t="str">
        <x:v>失敗時の表示、再試行、二重送信防止を設計する</x:v>
      </x:c>
      <x:c r="H146" s="7" t="str">
        <x:v>背景色だけ変える</x:v>
      </x:c>
      <x:c r="I146" s="7" t="str">
        <x:v>成功したことにする</x:v>
      </x:c>
      <x:c r="J146" s="7" t="str">
        <x:v>全データを毎回削除する</x:v>
      </x:c>
      <x:c r="K146" s="16" t="n">
        <x:v>1</x:v>
      </x:c>
      <x:c r="L146" s="7" t="str">
        <x:v>失敗時の表示、再試行、二重送信防止を設計する</x:v>
      </x:c>
      <x:c r="M146" s="7" t="str">
        <x:v>オンライン前提だけで作ると、現場で困ることがあります。</x:v>
      </x:c>
      <x:c r="N146" s="7" t="str">
        <x:v>Firestoreにはオフラインキャッシュ機能もありますが、業務処理では成功確認、再試行、二重送信防止を画面側でも考える必要があります。</x:v>
      </x:c>
      <x:c r="O146" s="7" t="str">
        <x:v>全範囲</x:v>
      </x:c>
      <x:c r="P146" s="12" t="str">
        <x:v>Firestore,offline,注文作成</x:v>
      </x:c>
    </x:row>
    <x:row r="147" ht="74" customHeight="1">
      <x:c r="A147" s="11" t="str">
        <x:v>FSQ-146</x:v>
      </x:c>
      <x:c r="B147" s="7" t="str">
        <x:v>オフライン対応</x:v>
      </x:c>
      <x:c r="C147" s="7" t="str">
        <x:v>初級</x:v>
      </x:c>
      <x:c r="D147" s="7" t="str">
        <x:v>4択</x:v>
      </x:c>
      <x:c r="E147" s="7" t="str">
        <x:v>注文更新を通信が不安定な環境で扱うとき、Firestore利用時に意識したいことは？</x:v>
      </x:c>
      <x:c r="F147" s="7" t="str"/>
      <x:c r="G147" s="7" t="str">
        <x:v>背景色だけ変える</x:v>
      </x:c>
      <x:c r="H147" s="7" t="str">
        <x:v>失敗時の表示、再試行、二重送信防止を設計する</x:v>
      </x:c>
      <x:c r="I147" s="7" t="str">
        <x:v>成功したことにする</x:v>
      </x:c>
      <x:c r="J147" s="7" t="str">
        <x:v>全データを毎回削除する</x:v>
      </x:c>
      <x:c r="K147" s="16" t="n">
        <x:v>2</x:v>
      </x:c>
      <x:c r="L147" s="7" t="str">
        <x:v>失敗時の表示、再試行、二重送信防止を設計する</x:v>
      </x:c>
      <x:c r="M147" s="7" t="str">
        <x:v>オンライン前提だけで作ると、現場で困ることがあります。</x:v>
      </x:c>
      <x:c r="N147" s="7" t="str">
        <x:v>Firestoreにはオフラインキャッシュ機能もありますが、業務処理では成功確認、再試行、二重送信防止を画面側でも考える必要があります。</x:v>
      </x:c>
      <x:c r="O147" s="7" t="str">
        <x:v>全範囲</x:v>
      </x:c>
      <x:c r="P147" s="12" t="str">
        <x:v>Firestore,offline,注文更新</x:v>
      </x:c>
    </x:row>
    <x:row r="148" ht="74" customHeight="1">
      <x:c r="A148" s="11" t="str">
        <x:v>FSQ-147</x:v>
      </x:c>
      <x:c r="B148" s="7" t="str">
        <x:v>オフライン対応</x:v>
      </x:c>
      <x:c r="C148" s="7" t="str">
        <x:v>初級</x:v>
      </x:c>
      <x:c r="D148" s="7" t="str">
        <x:v>4択</x:v>
      </x:c>
      <x:c r="E148" s="7" t="str">
        <x:v>ログ保存を通信が不安定な環境で扱うとき、Firestore利用時に意識したいことは？</x:v>
      </x:c>
      <x:c r="F148" s="7" t="str"/>
      <x:c r="G148" s="7" t="str">
        <x:v>背景色だけ変える</x:v>
      </x:c>
      <x:c r="H148" s="7" t="str">
        <x:v>成功したことにする</x:v>
      </x:c>
      <x:c r="I148" s="7" t="str">
        <x:v>失敗時の表示、再試行、二重送信防止を設計する</x:v>
      </x:c>
      <x:c r="J148" s="7" t="str">
        <x:v>全データを毎回削除する</x:v>
      </x:c>
      <x:c r="K148" s="16" t="n">
        <x:v>3</x:v>
      </x:c>
      <x:c r="L148" s="7" t="str">
        <x:v>失敗時の表示、再試行、二重送信防止を設計する</x:v>
      </x:c>
      <x:c r="M148" s="7" t="str">
        <x:v>オンライン前提だけで作ると、現場で困ることがあります。</x:v>
      </x:c>
      <x:c r="N148" s="7" t="str">
        <x:v>Firestoreにはオフラインキャッシュ機能もありますが、業務処理では成功確認、再試行、二重送信防止を画面側でも考える必要があります。</x:v>
      </x:c>
      <x:c r="O148" s="7" t="str">
        <x:v>全範囲</x:v>
      </x:c>
      <x:c r="P148" s="12" t="str">
        <x:v>Firestore,offline,ログ保存</x:v>
      </x:c>
    </x:row>
    <x:row r="149" ht="74" customHeight="1">
      <x:c r="A149" s="11" t="str">
        <x:v>FSQ-148</x:v>
      </x:c>
      <x:c r="B149" s="7" t="str">
        <x:v>オフライン対応</x:v>
      </x:c>
      <x:c r="C149" s="7" t="str">
        <x:v>中級</x:v>
      </x:c>
      <x:c r="D149" s="7" t="str">
        <x:v>4択</x:v>
      </x:c>
      <x:c r="E149" s="7" t="str">
        <x:v>問題取得を通信が不安定な環境で扱うとき、Firestore利用時に意識したいことは？</x:v>
      </x:c>
      <x:c r="F149" s="7" t="str"/>
      <x:c r="G149" s="7" t="str">
        <x:v>背景色だけ変える</x:v>
      </x:c>
      <x:c r="H149" s="7" t="str">
        <x:v>成功したことにする</x:v>
      </x:c>
      <x:c r="I149" s="7" t="str">
        <x:v>全データを毎回削除する</x:v>
      </x:c>
      <x:c r="J149" s="7" t="str">
        <x:v>失敗時の表示、再試行、二重送信防止を設計する</x:v>
      </x:c>
      <x:c r="K149" s="16" t="n">
        <x:v>4</x:v>
      </x:c>
      <x:c r="L149" s="7" t="str">
        <x:v>失敗時の表示、再試行、二重送信防止を設計する</x:v>
      </x:c>
      <x:c r="M149" s="7" t="str">
        <x:v>オンライン前提だけで作ると、現場で困ることがあります。</x:v>
      </x:c>
      <x:c r="N149" s="7" t="str">
        <x:v>Firestoreにはオフラインキャッシュ機能もありますが、業務処理では成功確認、再試行、二重送信防止を画面側でも考える必要があります。</x:v>
      </x:c>
      <x:c r="O149" s="7" t="str">
        <x:v>全範囲</x:v>
      </x:c>
      <x:c r="P149" s="12" t="str">
        <x:v>Firestore,offline,問題取得</x:v>
      </x:c>
    </x:row>
    <x:row r="150" ht="74" customHeight="1">
      <x:c r="A150" s="11" t="str">
        <x:v>FSQ-149</x:v>
      </x:c>
      <x:c r="B150" s="7" t="str">
        <x:v>オフライン対応</x:v>
      </x:c>
      <x:c r="C150" s="7" t="str">
        <x:v>中級</x:v>
      </x:c>
      <x:c r="D150" s="7" t="str">
        <x:v>4択</x:v>
      </x:c>
      <x:c r="E150" s="7" t="str">
        <x:v>KDS表示を通信が不安定な環境で扱うとき、Firestore利用時に意識したいことは？</x:v>
      </x:c>
      <x:c r="F150" s="7" t="str"/>
      <x:c r="G150" s="7" t="str">
        <x:v>失敗時の表示、再試行、二重送信防止を設計する</x:v>
      </x:c>
      <x:c r="H150" s="7" t="str">
        <x:v>背景色だけ変える</x:v>
      </x:c>
      <x:c r="I150" s="7" t="str">
        <x:v>成功したことにする</x:v>
      </x:c>
      <x:c r="J150" s="7" t="str">
        <x:v>全データを毎回削除する</x:v>
      </x:c>
      <x:c r="K150" s="16" t="n">
        <x:v>1</x:v>
      </x:c>
      <x:c r="L150" s="7" t="str">
        <x:v>失敗時の表示、再試行、二重送信防止を設計する</x:v>
      </x:c>
      <x:c r="M150" s="7" t="str">
        <x:v>オンライン前提だけで作ると、現場で困ることがあります。</x:v>
      </x:c>
      <x:c r="N150" s="7" t="str">
        <x:v>Firestoreにはオフラインキャッシュ機能もありますが、業務処理では成功確認、再試行、二重送信防止を画面側でも考える必要があります。</x:v>
      </x:c>
      <x:c r="O150" s="7" t="str">
        <x:v>全範囲</x:v>
      </x:c>
      <x:c r="P150" s="12" t="str">
        <x:v>Firestore,offline,KDS表示</x:v>
      </x:c>
    </x:row>
    <x:row r="151" ht="74" customHeight="1">
      <x:c r="A151" s="11" t="str">
        <x:v>FSQ-150</x:v>
      </x:c>
      <x:c r="B151" s="7" t="str">
        <x:v>オフライン対応</x:v>
      </x:c>
      <x:c r="C151" s="7" t="str">
        <x:v>応用</x:v>
      </x:c>
      <x:c r="D151" s="7" t="str">
        <x:v>4択</x:v>
      </x:c>
      <x:c r="E151" s="7" t="str">
        <x:v>履歴確認を通信が不安定な環境で扱うとき、Firestore利用時に意識したいことは？</x:v>
      </x:c>
      <x:c r="F151" s="7" t="str"/>
      <x:c r="G151" s="7" t="str">
        <x:v>背景色だけ変える</x:v>
      </x:c>
      <x:c r="H151" s="7" t="str">
        <x:v>失敗時の表示、再試行、二重送信防止を設計する</x:v>
      </x:c>
      <x:c r="I151" s="7" t="str">
        <x:v>成功したことにする</x:v>
      </x:c>
      <x:c r="J151" s="7" t="str">
        <x:v>全データを毎回削除する</x:v>
      </x:c>
      <x:c r="K151" s="16" t="n">
        <x:v>2</x:v>
      </x:c>
      <x:c r="L151" s="7" t="str">
        <x:v>失敗時の表示、再試行、二重送信防止を設計する</x:v>
      </x:c>
      <x:c r="M151" s="7" t="str">
        <x:v>オンライン前提だけで作ると、現場で困ることがあります。</x:v>
      </x:c>
      <x:c r="N151" s="7" t="str">
        <x:v>Firestoreにはオフラインキャッシュ機能もありますが、業務処理では成功確認、再試行、二重送信防止を画面側でも考える必要があります。</x:v>
      </x:c>
      <x:c r="O151" s="7" t="str">
        <x:v>全範囲</x:v>
      </x:c>
      <x:c r="P151" s="12" t="str">
        <x:v>Firestore,offline,履歴確認</x:v>
      </x:c>
    </x:row>
    <x:row r="152" ht="74" customHeight="1">
      <x:c r="A152" s="11" t="str">
        <x:v>FSQ-151</x:v>
      </x:c>
      <x:c r="B152" s="7" t="str">
        <x:v>オフライン対応</x:v>
      </x:c>
      <x:c r="C152" s="7" t="str">
        <x:v>初級</x:v>
      </x:c>
      <x:c r="D152" s="7" t="str">
        <x:v>4択</x:v>
      </x:c>
      <x:c r="E152" s="7" t="str">
        <x:v>メニュー読込を通信が不安定な環境で扱うとき、Firestore利用時に意識したいことは？</x:v>
      </x:c>
      <x:c r="F152" s="7" t="str"/>
      <x:c r="G152" s="7" t="str">
        <x:v>背景色だけ変える</x:v>
      </x:c>
      <x:c r="H152" s="7" t="str">
        <x:v>成功したことにする</x:v>
      </x:c>
      <x:c r="I152" s="7" t="str">
        <x:v>失敗時の表示、再試行、二重送信防止を設計する</x:v>
      </x:c>
      <x:c r="J152" s="7" t="str">
        <x:v>全データを毎回削除する</x:v>
      </x:c>
      <x:c r="K152" s="16" t="n">
        <x:v>3</x:v>
      </x:c>
      <x:c r="L152" s="7" t="str">
        <x:v>失敗時の表示、再試行、二重送信防止を設計する</x:v>
      </x:c>
      <x:c r="M152" s="7" t="str">
        <x:v>オンライン前提だけで作ると、現場で困ることがあります。</x:v>
      </x:c>
      <x:c r="N152" s="7" t="str">
        <x:v>Firestoreにはオフラインキャッシュ機能もありますが、業務処理では成功確認、再試行、二重送信防止を画面側でも考える必要があります。</x:v>
      </x:c>
      <x:c r="O152" s="7" t="str">
        <x:v>全範囲</x:v>
      </x:c>
      <x:c r="P152" s="12" t="str">
        <x:v>Firestore,offline,メニュー読込</x:v>
      </x:c>
    </x:row>
    <x:row r="153" ht="74" customHeight="1">
      <x:c r="A153" s="11" t="str">
        <x:v>FSQ-152</x:v>
      </x:c>
      <x:c r="B153" s="7" t="str">
        <x:v>オフライン対応</x:v>
      </x:c>
      <x:c r="C153" s="7" t="str">
        <x:v>初級</x:v>
      </x:c>
      <x:c r="D153" s="7" t="str">
        <x:v>4択</x:v>
      </x:c>
      <x:c r="E153" s="7" t="str">
        <x:v>進捗保存を通信が不安定な環境で扱うとき、Firestore利用時に意識したいことは？</x:v>
      </x:c>
      <x:c r="F153" s="7" t="str"/>
      <x:c r="G153" s="7" t="str">
        <x:v>背景色だけ変える</x:v>
      </x:c>
      <x:c r="H153" s="7" t="str">
        <x:v>成功したことにする</x:v>
      </x:c>
      <x:c r="I153" s="7" t="str">
        <x:v>全データを毎回削除する</x:v>
      </x:c>
      <x:c r="J153" s="7" t="str">
        <x:v>失敗時の表示、再試行、二重送信防止を設計する</x:v>
      </x:c>
      <x:c r="K153" s="16" t="n">
        <x:v>4</x:v>
      </x:c>
      <x:c r="L153" s="7" t="str">
        <x:v>失敗時の表示、再試行、二重送信防止を設計する</x:v>
      </x:c>
      <x:c r="M153" s="7" t="str">
        <x:v>オンライン前提だけで作ると、現場で困ることがあります。</x:v>
      </x:c>
      <x:c r="N153" s="7" t="str">
        <x:v>Firestoreにはオフラインキャッシュ機能もありますが、業務処理では成功確認、再試行、二重送信防止を画面側でも考える必要があります。</x:v>
      </x:c>
      <x:c r="O153" s="7" t="str">
        <x:v>全範囲</x:v>
      </x:c>
      <x:c r="P153" s="12" t="str">
        <x:v>Firestore,offline,進捗保存</x:v>
      </x:c>
    </x:row>
    <x:row r="154" ht="74" customHeight="1">
      <x:c r="A154" s="11" t="str">
        <x:v>FSQ-153</x:v>
      </x:c>
      <x:c r="B154" s="7" t="str">
        <x:v>削除</x:v>
      </x:c>
      <x:c r="C154" s="7" t="str">
        <x:v>中級</x:v>
      </x:c>
      <x:c r="D154" s="7" t="str">
        <x:v>4択</x:v>
      </x:c>
      <x:c r="E154" s="7" t="str">
        <x:v>ordersコレクションの特定ドキュメントを削除したい。使うAPIは？</x:v>
      </x:c>
      <x:c r="F154" s="7" t="str">
        <x:v>await deleteDoc(doc(db, 'orders', docId));</x:v>
      </x:c>
      <x:c r="G154" s="7" t="str">
        <x:v>deleteDoc</x:v>
      </x:c>
      <x:c r="H154" s="7" t="str">
        <x:v>addDoc</x:v>
      </x:c>
      <x:c r="I154" s="7" t="str">
        <x:v>getDocs</x:v>
      </x:c>
      <x:c r="J154" s="7" t="str">
        <x:v>serverTimestamp</x:v>
      </x:c>
      <x:c r="K154" s="16" t="n">
        <x:v>1</x:v>
      </x:c>
      <x:c r="L154" s="7" t="str">
        <x:v>deleteDoc</x:v>
      </x:c>
      <x:c r="M154" s="7" t="str">
        <x:v>削除対象はDocumentReferenceで指定します。</x:v>
      </x:c>
      <x:c r="N154" s="7" t="str">
        <x:v>deleteDocは指定したドキュメントを削除します。履歴を残したい業務データでは、物理削除ではなくstatus変更も検討します。</x:v>
      </x:c>
      <x:c r="O154" s="7" t="str">
        <x:v>全範囲</x:v>
      </x:c>
      <x:c r="P154" s="12" t="str">
        <x:v>Firestore,deleteDoc,orders</x:v>
      </x:c>
    </x:row>
    <x:row r="155" ht="74" customHeight="1">
      <x:c r="A155" s="11" t="str">
        <x:v>FSQ-154</x:v>
      </x:c>
      <x:c r="B155" s="7" t="str">
        <x:v>削除</x:v>
      </x:c>
      <x:c r="C155" s="7" t="str">
        <x:v>中級</x:v>
      </x:c>
      <x:c r="D155" s="7" t="str">
        <x:v>4択</x:v>
      </x:c>
      <x:c r="E155" s="7" t="str">
        <x:v>menusコレクションの特定ドキュメントを削除したい。使うAPIは？</x:v>
      </x:c>
      <x:c r="F155" s="7" t="str">
        <x:v>await deleteDoc(doc(db, 'menus', docId));</x:v>
      </x:c>
      <x:c r="G155" s="7" t="str">
        <x:v>addDoc</x:v>
      </x:c>
      <x:c r="H155" s="7" t="str">
        <x:v>deleteDoc</x:v>
      </x:c>
      <x:c r="I155" s="7" t="str">
        <x:v>getDocs</x:v>
      </x:c>
      <x:c r="J155" s="7" t="str">
        <x:v>serverTimestamp</x:v>
      </x:c>
      <x:c r="K155" s="16" t="n">
        <x:v>2</x:v>
      </x:c>
      <x:c r="L155" s="7" t="str">
        <x:v>deleteDoc</x:v>
      </x:c>
      <x:c r="M155" s="7" t="str">
        <x:v>削除対象はDocumentReferenceで指定します。</x:v>
      </x:c>
      <x:c r="N155" s="7" t="str">
        <x:v>deleteDocは指定したドキュメントを削除します。履歴を残したい業務データでは、物理削除ではなくstatus変更も検討します。</x:v>
      </x:c>
      <x:c r="O155" s="7" t="str">
        <x:v>全範囲</x:v>
      </x:c>
      <x:c r="P155" s="12" t="str">
        <x:v>Firestore,deleteDoc,menus</x:v>
      </x:c>
    </x:row>
    <x:row r="156" ht="74" customHeight="1">
      <x:c r="A156" s="11" t="str">
        <x:v>FSQ-155</x:v>
      </x:c>
      <x:c r="B156" s="7" t="str">
        <x:v>削除</x:v>
      </x:c>
      <x:c r="C156" s="7" t="str">
        <x:v>応用</x:v>
      </x:c>
      <x:c r="D156" s="7" t="str">
        <x:v>4択</x:v>
      </x:c>
      <x:c r="E156" s="7" t="str">
        <x:v>usersコレクションの特定ドキュメントを削除したい。使うAPIは？</x:v>
      </x:c>
      <x:c r="F156" s="7" t="str">
        <x:v>await deleteDoc(doc(db, 'users', docId));</x:v>
      </x:c>
      <x:c r="G156" s="7" t="str">
        <x:v>addDoc</x:v>
      </x:c>
      <x:c r="H156" s="7" t="str">
        <x:v>getDocs</x:v>
      </x:c>
      <x:c r="I156" s="7" t="str">
        <x:v>deleteDoc</x:v>
      </x:c>
      <x:c r="J156" s="7" t="str">
        <x:v>serverTimestamp</x:v>
      </x:c>
      <x:c r="K156" s="16" t="n">
        <x:v>3</x:v>
      </x:c>
      <x:c r="L156" s="7" t="str">
        <x:v>deleteDoc</x:v>
      </x:c>
      <x:c r="M156" s="7" t="str">
        <x:v>削除対象はDocumentReferenceで指定します。</x:v>
      </x:c>
      <x:c r="N156" s="7" t="str">
        <x:v>deleteDocは指定したドキュメントを削除します。履歴を残したい業務データでは、物理削除ではなくstatus変更も検討します。</x:v>
      </x:c>
      <x:c r="O156" s="7" t="str">
        <x:v>全範囲</x:v>
      </x:c>
      <x:c r="P156" s="12" t="str">
        <x:v>Firestore,deleteDoc,users</x:v>
      </x:c>
    </x:row>
    <x:row r="157" ht="74" customHeight="1">
      <x:c r="A157" s="11" t="str">
        <x:v>FSQ-156</x:v>
      </x:c>
      <x:c r="B157" s="7" t="str">
        <x:v>削除</x:v>
      </x:c>
      <x:c r="C157" s="7" t="str">
        <x:v>初級</x:v>
      </x:c>
      <x:c r="D157" s="7" t="str">
        <x:v>4択</x:v>
      </x:c>
      <x:c r="E157" s="7" t="str">
        <x:v>CookListコレクションの特定ドキュメントを削除したい。使うAPIは？</x:v>
      </x:c>
      <x:c r="F157" s="7" t="str">
        <x:v>await deleteDoc(doc(db, 'CookList', docId));</x:v>
      </x:c>
      <x:c r="G157" s="7" t="str">
        <x:v>addDoc</x:v>
      </x:c>
      <x:c r="H157" s="7" t="str">
        <x:v>getDocs</x:v>
      </x:c>
      <x:c r="I157" s="7" t="str">
        <x:v>serverTimestamp</x:v>
      </x:c>
      <x:c r="J157" s="7" t="str">
        <x:v>deleteDoc</x:v>
      </x:c>
      <x:c r="K157" s="16" t="n">
        <x:v>4</x:v>
      </x:c>
      <x:c r="L157" s="7" t="str">
        <x:v>deleteDoc</x:v>
      </x:c>
      <x:c r="M157" s="7" t="str">
        <x:v>削除対象はDocumentReferenceで指定します。</x:v>
      </x:c>
      <x:c r="N157" s="7" t="str">
        <x:v>deleteDocは指定したドキュメントを削除します。履歴を残したい業務データでは、物理削除ではなくstatus変更も検討します。</x:v>
      </x:c>
      <x:c r="O157" s="7" t="str">
        <x:v>全範囲</x:v>
      </x:c>
      <x:c r="P157" s="12" t="str">
        <x:v>Firestore,deleteDoc,CookList</x:v>
      </x:c>
    </x:row>
    <x:row r="158" ht="74" customHeight="1">
      <x:c r="A158" s="11" t="str">
        <x:v>FSQ-157</x:v>
      </x:c>
      <x:c r="B158" s="7" t="str">
        <x:v>削除</x:v>
      </x:c>
      <x:c r="C158" s="7" t="str">
        <x:v>初級</x:v>
      </x:c>
      <x:c r="D158" s="7" t="str">
        <x:v>4択</x:v>
      </x:c>
      <x:c r="E158" s="7" t="str">
        <x:v>StaffListコレクションの特定ドキュメントを削除したい。使うAPIは？</x:v>
      </x:c>
      <x:c r="F158" s="7" t="str">
        <x:v>await deleteDoc(doc(db, 'StaffList', docId));</x:v>
      </x:c>
      <x:c r="G158" s="7" t="str">
        <x:v>deleteDoc</x:v>
      </x:c>
      <x:c r="H158" s="7" t="str">
        <x:v>addDoc</x:v>
      </x:c>
      <x:c r="I158" s="7" t="str">
        <x:v>getDocs</x:v>
      </x:c>
      <x:c r="J158" s="7" t="str">
        <x:v>serverTimestamp</x:v>
      </x:c>
      <x:c r="K158" s="16" t="n">
        <x:v>1</x:v>
      </x:c>
      <x:c r="L158" s="7" t="str">
        <x:v>deleteDoc</x:v>
      </x:c>
      <x:c r="M158" s="7" t="str">
        <x:v>削除対象はDocumentReferenceで指定します。</x:v>
      </x:c>
      <x:c r="N158" s="7" t="str">
        <x:v>deleteDocは指定したドキュメントを削除します。履歴を残したい業務データでは、物理削除ではなくstatus変更も検討します。</x:v>
      </x:c>
      <x:c r="O158" s="7" t="str">
        <x:v>全範囲</x:v>
      </x:c>
      <x:c r="P158" s="12" t="str">
        <x:v>Firestore,deleteDoc,StaffList</x:v>
      </x:c>
    </x:row>
    <x:row r="159" ht="74" customHeight="1">
      <x:c r="A159" s="11" t="str">
        <x:v>FSQ-158</x:v>
      </x:c>
      <x:c r="B159" s="7" t="str">
        <x:v>削除</x:v>
      </x:c>
      <x:c r="C159" s="7" t="str">
        <x:v>中級</x:v>
      </x:c>
      <x:c r="D159" s="7" t="str">
        <x:v>4択</x:v>
      </x:c>
      <x:c r="E159" s="7" t="str">
        <x:v>quizQuestionsコレクションの特定ドキュメントを削除したい。使うAPIは？</x:v>
      </x:c>
      <x:c r="F159" s="7" t="str">
        <x:v>await deleteDoc(doc(db, 'quizQuestions', docId));</x:v>
      </x:c>
      <x:c r="G159" s="7" t="str">
        <x:v>addDoc</x:v>
      </x:c>
      <x:c r="H159" s="7" t="str">
        <x:v>deleteDoc</x:v>
      </x:c>
      <x:c r="I159" s="7" t="str">
        <x:v>getDocs</x:v>
      </x:c>
      <x:c r="J159" s="7" t="str">
        <x:v>serverTimestamp</x:v>
      </x:c>
      <x:c r="K159" s="16" t="n">
        <x:v>2</x:v>
      </x:c>
      <x:c r="L159" s="7" t="str">
        <x:v>deleteDoc</x:v>
      </x:c>
      <x:c r="M159" s="7" t="str">
        <x:v>削除対象はDocumentReferenceで指定します。</x:v>
      </x:c>
      <x:c r="N159" s="7" t="str">
        <x:v>deleteDocは指定したドキュメントを削除します。履歴を残したい業務データでは、物理削除ではなくstatus変更も検討します。</x:v>
      </x:c>
      <x:c r="O159" s="7" t="str">
        <x:v>全範囲</x:v>
      </x:c>
      <x:c r="P159" s="12" t="str">
        <x:v>Firestore,deleteDoc,quizQuestions</x:v>
      </x:c>
    </x:row>
    <x:row r="160" ht="74" customHeight="1">
      <x:c r="A160" s="11" t="str">
        <x:v>FSQ-159</x:v>
      </x:c>
      <x:c r="B160" s="7" t="str">
        <x:v>削除</x:v>
      </x:c>
      <x:c r="C160" s="7" t="str">
        <x:v>中級</x:v>
      </x:c>
      <x:c r="D160" s="7" t="str">
        <x:v>4択</x:v>
      </x:c>
      <x:c r="E160" s="7" t="str">
        <x:v>learningLogsコレクションの特定ドキュメントを削除したい。使うAPIは？</x:v>
      </x:c>
      <x:c r="F160" s="7" t="str">
        <x:v>await deleteDoc(doc(db, 'learningLogs', docId));</x:v>
      </x:c>
      <x:c r="G160" s="7" t="str">
        <x:v>addDoc</x:v>
      </x:c>
      <x:c r="H160" s="7" t="str">
        <x:v>getDocs</x:v>
      </x:c>
      <x:c r="I160" s="7" t="str">
        <x:v>deleteDoc</x:v>
      </x:c>
      <x:c r="J160" s="7" t="str">
        <x:v>serverTimestamp</x:v>
      </x:c>
      <x:c r="K160" s="16" t="n">
        <x:v>3</x:v>
      </x:c>
      <x:c r="L160" s="7" t="str">
        <x:v>deleteDoc</x:v>
      </x:c>
      <x:c r="M160" s="7" t="str">
        <x:v>削除対象はDocumentReferenceで指定します。</x:v>
      </x:c>
      <x:c r="N160" s="7" t="str">
        <x:v>deleteDocは指定したドキュメントを削除します。履歴を残したい業務データでは、物理削除ではなくstatus変更も検討します。</x:v>
      </x:c>
      <x:c r="O160" s="7" t="str">
        <x:v>全範囲</x:v>
      </x:c>
      <x:c r="P160" s="12" t="str">
        <x:v>Firestore,deleteDoc,learningLogs</x:v>
      </x:c>
    </x:row>
    <x:row r="161" ht="74" customHeight="1">
      <x:c r="A161" s="11" t="str">
        <x:v>FSQ-160</x:v>
      </x:c>
      <x:c r="B161" s="7" t="str">
        <x:v>削除</x:v>
      </x:c>
      <x:c r="C161" s="7" t="str">
        <x:v>応用</x:v>
      </x:c>
      <x:c r="D161" s="7" t="str">
        <x:v>4択</x:v>
      </x:c>
      <x:c r="E161" s="7" t="str">
        <x:v>settingsコレクションの特定ドキュメントを削除したい。使うAPIは？</x:v>
      </x:c>
      <x:c r="F161" s="7" t="str">
        <x:v>await deleteDoc(doc(db, 'settings', docId));</x:v>
      </x:c>
      <x:c r="G161" s="7" t="str">
        <x:v>addDoc</x:v>
      </x:c>
      <x:c r="H161" s="7" t="str">
        <x:v>getDocs</x:v>
      </x:c>
      <x:c r="I161" s="7" t="str">
        <x:v>serverTimestamp</x:v>
      </x:c>
      <x:c r="J161" s="7" t="str">
        <x:v>deleteDoc</x:v>
      </x:c>
      <x:c r="K161" s="16" t="n">
        <x:v>4</x:v>
      </x:c>
      <x:c r="L161" s="7" t="str">
        <x:v>deleteDoc</x:v>
      </x:c>
      <x:c r="M161" s="7" t="str">
        <x:v>削除対象はDocumentReferenceで指定します。</x:v>
      </x:c>
      <x:c r="N161" s="7" t="str">
        <x:v>deleteDocは指定したドキュメントを削除します。履歴を残したい業務データでは、物理削除ではなくstatus変更も検討します。</x:v>
      </x:c>
      <x:c r="O161" s="7" t="str">
        <x:v>全範囲</x:v>
      </x:c>
      <x:c r="P161" s="12" t="str">
        <x:v>Firestore,deleteDoc,settings</x:v>
      </x:c>
    </x:row>
    <x:row r="162" ht="74" customHeight="1">
      <x:c r="A162" s="11" t="str">
        <x:v>FSQ-161</x:v>
      </x:c>
      <x:c r="B162" s="7" t="str">
        <x:v>クエリ</x:v>
      </x:c>
      <x:c r="C162" s="7" t="str">
        <x:v>初級</x:v>
      </x:c>
      <x:c r="D162" s="7" t="str">
        <x:v>4択</x:v>
      </x:c>
      <x:c r="E162" s="7" t="str">
        <x:v>statusで昇順に並べて取得したい。Firestoreクエリで使うものは？</x:v>
      </x:c>
      <x:c r="F162" s="7" t="str">
        <x:v>query(collection(db, 'orders'), orderBy('status', 'asc'));</x:v>
      </x:c>
      <x:c r="G162" s="7" t="str">
        <x:v>orderBy('status', 'asc')</x:v>
      </x:c>
      <x:c r="H162" s="7" t="str">
        <x:v>where('status', 'asc')</x:v>
      </x:c>
      <x:c r="I162" s="7" t="str">
        <x:v>limit('status')</x:v>
      </x:c>
      <x:c r="J162" s="7" t="str">
        <x:v>arrayUnion('status')</x:v>
      </x:c>
      <x:c r="K162" s="16" t="n">
        <x:v>1</x:v>
      </x:c>
      <x:c r="L162" s="7" t="str">
        <x:v>orderBy('status', 'asc')</x:v>
      </x:c>
      <x:c r="M162" s="7" t="str">
        <x:v>並び替えはorderByです。</x:v>
      </x:c>
      <x:c r="N162" s="7" t="str">
        <x:v>orderByは指定フィールドで結果を並び替えます。whereと組み合わせる場合はインデックスが必要になることがあります。</x:v>
      </x:c>
      <x:c r="O162" s="7" t="str">
        <x:v>日替わり</x:v>
      </x:c>
      <x:c r="P162" s="12" t="str">
        <x:v>Firestore,orderBy,status</x:v>
      </x:c>
    </x:row>
    <x:row r="163" ht="74" customHeight="1">
      <x:c r="A163" s="11" t="str">
        <x:v>FSQ-162</x:v>
      </x:c>
      <x:c r="B163" s="7" t="str">
        <x:v>クエリ</x:v>
      </x:c>
      <x:c r="C163" s="7" t="str">
        <x:v>初級</x:v>
      </x:c>
      <x:c r="D163" s="7" t="str">
        <x:v>4択</x:v>
      </x:c>
      <x:c r="E163" s="7" t="str">
        <x:v>tableで昇順に並べて取得したい。Firestoreクエリで使うものは？</x:v>
      </x:c>
      <x:c r="F163" s="7" t="str">
        <x:v>query(collection(db, 'orders'), orderBy('table', 'asc'));</x:v>
      </x:c>
      <x:c r="G163" s="7" t="str">
        <x:v>where('table', 'asc')</x:v>
      </x:c>
      <x:c r="H163" s="7" t="str">
        <x:v>orderBy('table', 'asc')</x:v>
      </x:c>
      <x:c r="I163" s="7" t="str">
        <x:v>limit('table')</x:v>
      </x:c>
      <x:c r="J163" s="7" t="str">
        <x:v>arrayUnion('table')</x:v>
      </x:c>
      <x:c r="K163" s="16" t="n">
        <x:v>2</x:v>
      </x:c>
      <x:c r="L163" s="7" t="str">
        <x:v>orderBy('table', 'asc')</x:v>
      </x:c>
      <x:c r="M163" s="7" t="str">
        <x:v>並び替えはorderByです。</x:v>
      </x:c>
      <x:c r="N163" s="7" t="str">
        <x:v>orderByは指定フィールドで結果を並び替えます。whereと組み合わせる場合はインデックスが必要になることがあります。</x:v>
      </x:c>
      <x:c r="O163" s="7" t="str">
        <x:v>日替わり</x:v>
      </x:c>
      <x:c r="P163" s="12" t="str">
        <x:v>Firestore,orderBy,table</x:v>
      </x:c>
    </x:row>
    <x:row r="164" ht="74" customHeight="1">
      <x:c r="A164" s="11" t="str">
        <x:v>FSQ-163</x:v>
      </x:c>
      <x:c r="B164" s="7" t="str">
        <x:v>クエリ</x:v>
      </x:c>
      <x:c r="C164" s="7" t="str">
        <x:v>中級</x:v>
      </x:c>
      <x:c r="D164" s="7" t="str">
        <x:v>4択</x:v>
      </x:c>
      <x:c r="E164" s="7" t="str">
        <x:v>guestCountで昇順に並べて取得したい。Firestoreクエリで使うものは？</x:v>
      </x:c>
      <x:c r="F164" s="7" t="str">
        <x:v>query(collection(db, 'orders'), orderBy('guestCount', 'asc'));</x:v>
      </x:c>
      <x:c r="G164" s="7" t="str">
        <x:v>where('guestCount', 'asc')</x:v>
      </x:c>
      <x:c r="H164" s="7" t="str">
        <x:v>limit('guestCount')</x:v>
      </x:c>
      <x:c r="I164" s="7" t="str">
        <x:v>orderBy('guestCount', 'asc')</x:v>
      </x:c>
      <x:c r="J164" s="7" t="str">
        <x:v>arrayUnion('guestCount')</x:v>
      </x:c>
      <x:c r="K164" s="16" t="n">
        <x:v>3</x:v>
      </x:c>
      <x:c r="L164" s="7" t="str">
        <x:v>orderBy('guestCount', 'asc')</x:v>
      </x:c>
      <x:c r="M164" s="7" t="str">
        <x:v>並び替えはorderByです。</x:v>
      </x:c>
      <x:c r="N164" s="7" t="str">
        <x:v>orderByは指定フィールドで結果を並び替えます。whereと組み合わせる場合はインデックスが必要になることがあります。</x:v>
      </x:c>
      <x:c r="O164" s="7" t="str">
        <x:v>日替わり</x:v>
      </x:c>
      <x:c r="P164" s="12" t="str">
        <x:v>Firestore,orderBy,guestCount</x:v>
      </x:c>
    </x:row>
    <x:row r="165" ht="74" customHeight="1">
      <x:c r="A165" s="11" t="str">
        <x:v>FSQ-164</x:v>
      </x:c>
      <x:c r="B165" s="7" t="str">
        <x:v>クエリ</x:v>
      </x:c>
      <x:c r="C165" s="7" t="str">
        <x:v>中級</x:v>
      </x:c>
      <x:c r="D165" s="7" t="str">
        <x:v>4択</x:v>
      </x:c>
      <x:c r="E165" s="7" t="str">
        <x:v>staffCodeで昇順に並べて取得したい。Firestoreクエリで使うものは？</x:v>
      </x:c>
      <x:c r="F165" s="7" t="str">
        <x:v>query(collection(db, 'orders'), orderBy('staffCode', 'asc'));</x:v>
      </x:c>
      <x:c r="G165" s="7" t="str">
        <x:v>where('staffCode', 'asc')</x:v>
      </x:c>
      <x:c r="H165" s="7" t="str">
        <x:v>limit('staffCode')</x:v>
      </x:c>
      <x:c r="I165" s="7" t="str">
        <x:v>arrayUnion('staffCode')</x:v>
      </x:c>
      <x:c r="J165" s="7" t="str">
        <x:v>orderBy('staffCode', 'asc')</x:v>
      </x:c>
      <x:c r="K165" s="16" t="n">
        <x:v>4</x:v>
      </x:c>
      <x:c r="L165" s="7" t="str">
        <x:v>orderBy('staffCode', 'asc')</x:v>
      </x:c>
      <x:c r="M165" s="7" t="str">
        <x:v>並び替えはorderByです。</x:v>
      </x:c>
      <x:c r="N165" s="7" t="str">
        <x:v>orderByは指定フィールドで結果を並び替えます。whereと組み合わせる場合はインデックスが必要になることがあります。</x:v>
      </x:c>
      <x:c r="O165" s="7" t="str">
        <x:v>日替わり</x:v>
      </x:c>
      <x:c r="P165" s="12" t="str">
        <x:v>Firestore,orderBy,staffCode</x:v>
      </x:c>
    </x:row>
    <x:row r="166" ht="74" customHeight="1">
      <x:c r="A166" s="11" t="str">
        <x:v>FSQ-165</x:v>
      </x:c>
      <x:c r="B166" s="7" t="str">
        <x:v>クエリ</x:v>
      </x:c>
      <x:c r="C166" s="7" t="str">
        <x:v>応用</x:v>
      </x:c>
      <x:c r="D166" s="7" t="str">
        <x:v>4択</x:v>
      </x:c>
      <x:c r="E166" s="7" t="str">
        <x:v>createdAtで昇順に並べて取得したい。Firestoreクエリで使うものは？</x:v>
      </x:c>
      <x:c r="F166" s="7" t="str">
        <x:v>query(collection(db, 'orders'), orderBy('createdAt', 'asc'));</x:v>
      </x:c>
      <x:c r="G166" s="7" t="str">
        <x:v>orderBy('createdAt', 'asc')</x:v>
      </x:c>
      <x:c r="H166" s="7" t="str">
        <x:v>where('createdAt', 'asc')</x:v>
      </x:c>
      <x:c r="I166" s="7" t="str">
        <x:v>limit('createdAt')</x:v>
      </x:c>
      <x:c r="J166" s="7" t="str">
        <x:v>arrayUnion('createdAt')</x:v>
      </x:c>
      <x:c r="K166" s="16" t="n">
        <x:v>1</x:v>
      </x:c>
      <x:c r="L166" s="7" t="str">
        <x:v>orderBy('createdAt', 'asc')</x:v>
      </x:c>
      <x:c r="M166" s="7" t="str">
        <x:v>並び替えはorderByです。</x:v>
      </x:c>
      <x:c r="N166" s="7" t="str">
        <x:v>orderByは指定フィールドで結果を並び替えます。whereと組み合わせる場合はインデックスが必要になることがあります。</x:v>
      </x:c>
      <x:c r="O166" s="7" t="str">
        <x:v>日替わり</x:v>
      </x:c>
      <x:c r="P166" s="12" t="str">
        <x:v>Firestore,orderBy,createdAt</x:v>
      </x:c>
    </x:row>
    <x:row r="167" ht="74" customHeight="1">
      <x:c r="A167" s="11" t="str">
        <x:v>FSQ-166</x:v>
      </x:c>
      <x:c r="B167" s="7" t="str">
        <x:v>クエリ</x:v>
      </x:c>
      <x:c r="C167" s="7" t="str">
        <x:v>初級</x:v>
      </x:c>
      <x:c r="D167" s="7" t="str">
        <x:v>4択</x:v>
      </x:c>
      <x:c r="E167" s="7" t="str">
        <x:v>updatedAtで昇順に並べて取得したい。Firestoreクエリで使うものは？</x:v>
      </x:c>
      <x:c r="F167" s="7" t="str">
        <x:v>query(collection(db, 'orders'), orderBy('updatedAt', 'asc'));</x:v>
      </x:c>
      <x:c r="G167" s="7" t="str">
        <x:v>where('updatedAt', 'asc')</x:v>
      </x:c>
      <x:c r="H167" s="7" t="str">
        <x:v>orderBy('updatedAt', 'asc')</x:v>
      </x:c>
      <x:c r="I167" s="7" t="str">
        <x:v>limit('updatedAt')</x:v>
      </x:c>
      <x:c r="J167" s="7" t="str">
        <x:v>arrayUnion('updatedAt')</x:v>
      </x:c>
      <x:c r="K167" s="16" t="n">
        <x:v>2</x:v>
      </x:c>
      <x:c r="L167" s="7" t="str">
        <x:v>orderBy('updatedAt', 'asc')</x:v>
      </x:c>
      <x:c r="M167" s="7" t="str">
        <x:v>並び替えはorderByです。</x:v>
      </x:c>
      <x:c r="N167" s="7" t="str">
        <x:v>orderByは指定フィールドで結果を並び替えます。whereと組み合わせる場合はインデックスが必要になることがあります。</x:v>
      </x:c>
      <x:c r="O167" s="7" t="str">
        <x:v>日替わり</x:v>
      </x:c>
      <x:c r="P167" s="12" t="str">
        <x:v>Firestore,orderBy,updatedAt</x:v>
      </x:c>
    </x:row>
    <x:row r="168" ht="74" customHeight="1">
      <x:c r="A168" s="11" t="str">
        <x:v>FSQ-167</x:v>
      </x:c>
      <x:c r="B168" s="7" t="str">
        <x:v>クエリ</x:v>
      </x:c>
      <x:c r="C168" s="7" t="str">
        <x:v>初級</x:v>
      </x:c>
      <x:c r="D168" s="7" t="str">
        <x:v>4択</x:v>
      </x:c>
      <x:c r="E168" s="7" t="str">
        <x:v>priorityで昇順に並べて取得したい。Firestoreクエリで使うものは？</x:v>
      </x:c>
      <x:c r="F168" s="7" t="str">
        <x:v>query(collection(db, 'orders'), orderBy('priority', 'asc'));</x:v>
      </x:c>
      <x:c r="G168" s="7" t="str">
        <x:v>where('priority', 'asc')</x:v>
      </x:c>
      <x:c r="H168" s="7" t="str">
        <x:v>limit('priority')</x:v>
      </x:c>
      <x:c r="I168" s="7" t="str">
        <x:v>orderBy('priority', 'asc')</x:v>
      </x:c>
      <x:c r="J168" s="7" t="str">
        <x:v>arrayUnion('priority')</x:v>
      </x:c>
      <x:c r="K168" s="16" t="n">
        <x:v>3</x:v>
      </x:c>
      <x:c r="L168" s="7" t="str">
        <x:v>orderBy('priority', 'asc')</x:v>
      </x:c>
      <x:c r="M168" s="7" t="str">
        <x:v>並び替えはorderByです。</x:v>
      </x:c>
      <x:c r="N168" s="7" t="str">
        <x:v>orderByは指定フィールドで結果を並び替えます。whereと組み合わせる場合はインデックスが必要になることがあります。</x:v>
      </x:c>
      <x:c r="O168" s="7" t="str">
        <x:v>日替わり</x:v>
      </x:c>
      <x:c r="P168" s="12" t="str">
        <x:v>Firestore,orderBy,priority</x:v>
      </x:c>
    </x:row>
    <x:row r="169" ht="74" customHeight="1">
      <x:c r="A169" s="11" t="str">
        <x:v>FSQ-168</x:v>
      </x:c>
      <x:c r="B169" s="7" t="str">
        <x:v>クエリ</x:v>
      </x:c>
      <x:c r="C169" s="7" t="str">
        <x:v>中級</x:v>
      </x:c>
      <x:c r="D169" s="7" t="str">
        <x:v>4択</x:v>
      </x:c>
      <x:c r="E169" s="7" t="str">
        <x:v>orderMethodで昇順に並べて取得したい。Firestoreクエリで使うものは？</x:v>
      </x:c>
      <x:c r="F169" s="7" t="str">
        <x:v>query(collection(db, 'orders'), orderBy('orderMethod', 'asc'));</x:v>
      </x:c>
      <x:c r="G169" s="7" t="str">
        <x:v>where('orderMethod', 'asc')</x:v>
      </x:c>
      <x:c r="H169" s="7" t="str">
        <x:v>limit('orderMethod')</x:v>
      </x:c>
      <x:c r="I169" s="7" t="str">
        <x:v>arrayUnion('orderMethod')</x:v>
      </x:c>
      <x:c r="J169" s="7" t="str">
        <x:v>orderBy('orderMethod', 'asc')</x:v>
      </x:c>
      <x:c r="K169" s="16" t="n">
        <x:v>4</x:v>
      </x:c>
      <x:c r="L169" s="7" t="str">
        <x:v>orderBy('orderMethod', 'asc')</x:v>
      </x:c>
      <x:c r="M169" s="7" t="str">
        <x:v>並び替えはorderByです。</x:v>
      </x:c>
      <x:c r="N169" s="7" t="str">
        <x:v>orderByは指定フィールドで結果を並び替えます。whereと組み合わせる場合はインデックスが必要になることがあります。</x:v>
      </x:c>
      <x:c r="O169" s="7" t="str">
        <x:v>日替わり</x:v>
      </x:c>
      <x:c r="P169" s="12" t="str">
        <x:v>Firestore,orderBy,orderMethod</x:v>
      </x:c>
    </x:row>
    <x:row r="170" ht="74" customHeight="1">
      <x:c r="A170" s="11" t="str">
        <x:v>FSQ-169</x:v>
      </x:c>
      <x:c r="B170" s="7" t="str">
        <x:v>クエリ</x:v>
      </x:c>
      <x:c r="C170" s="7" t="str">
        <x:v>中級</x:v>
      </x:c>
      <x:c r="D170" s="7" t="str">
        <x:v>4択</x:v>
      </x:c>
      <x:c r="E170" s="7" t="str">
        <x:v>answeredAtで昇順に並べて取得したい。Firestoreクエリで使うものは？</x:v>
      </x:c>
      <x:c r="F170" s="7" t="str">
        <x:v>query(collection(db, 'orders'), orderBy('answeredAt', 'asc'));</x:v>
      </x:c>
      <x:c r="G170" s="7" t="str">
        <x:v>orderBy('answeredAt', 'asc')</x:v>
      </x:c>
      <x:c r="H170" s="7" t="str">
        <x:v>where('answeredAt', 'asc')</x:v>
      </x:c>
      <x:c r="I170" s="7" t="str">
        <x:v>limit('answeredAt')</x:v>
      </x:c>
      <x:c r="J170" s="7" t="str">
        <x:v>arrayUnion('answeredAt')</x:v>
      </x:c>
      <x:c r="K170" s="16" t="n">
        <x:v>1</x:v>
      </x:c>
      <x:c r="L170" s="7" t="str">
        <x:v>orderBy('answeredAt', 'asc')</x:v>
      </x:c>
      <x:c r="M170" s="7" t="str">
        <x:v>並び替えはorderByです。</x:v>
      </x:c>
      <x:c r="N170" s="7" t="str">
        <x:v>orderByは指定フィールドで結果を並び替えます。whereと組み合わせる場合はインデックスが必要になることがあります。</x:v>
      </x:c>
      <x:c r="O170" s="7" t="str">
        <x:v>日替わり</x:v>
      </x:c>
      <x:c r="P170" s="12" t="str">
        <x:v>Firestore,orderBy,answeredAt</x:v>
      </x:c>
    </x:row>
    <x:row r="171" ht="74" customHeight="1">
      <x:c r="A171" s="11" t="str">
        <x:v>FSQ-170</x:v>
      </x:c>
      <x:c r="B171" s="7" t="str">
        <x:v>クエリ</x:v>
      </x:c>
      <x:c r="C171" s="7" t="str">
        <x:v>応用</x:v>
      </x:c>
      <x:c r="D171" s="7" t="str">
        <x:v>4択</x:v>
      </x:c>
      <x:c r="E171" s="7" t="str">
        <x:v>categoryで昇順に並べて取得したい。Firestoreクエリで使うものは？</x:v>
      </x:c>
      <x:c r="F171" s="7" t="str">
        <x:v>query(collection(db, 'orders'), orderBy('category', 'asc'));</x:v>
      </x:c>
      <x:c r="G171" s="7" t="str">
        <x:v>where('category', 'asc')</x:v>
      </x:c>
      <x:c r="H171" s="7" t="str">
        <x:v>orderBy('category', 'asc')</x:v>
      </x:c>
      <x:c r="I171" s="7" t="str">
        <x:v>limit('category')</x:v>
      </x:c>
      <x:c r="J171" s="7" t="str">
        <x:v>arrayUnion('category')</x:v>
      </x:c>
      <x:c r="K171" s="16" t="n">
        <x:v>2</x:v>
      </x:c>
      <x:c r="L171" s="7" t="str">
        <x:v>orderBy('category', 'asc')</x:v>
      </x:c>
      <x:c r="M171" s="7" t="str">
        <x:v>並び替えはorderByです。</x:v>
      </x:c>
      <x:c r="N171" s="7" t="str">
        <x:v>orderByは指定フィールドで結果を並び替えます。whereと組み合わせる場合はインデックスが必要になることがあります。</x:v>
      </x:c>
      <x:c r="O171" s="7" t="str">
        <x:v>日替わり</x:v>
      </x:c>
      <x:c r="P171" s="12" t="str">
        <x:v>Firestore,orderBy,category</x:v>
      </x:c>
    </x:row>
    <x:row r="172" ht="74" customHeight="1">
      <x:c r="A172" s="11" t="str">
        <x:v>FSQ-171</x:v>
      </x:c>
      <x:c r="B172" s="7" t="str">
        <x:v>パフォーマンス</x:v>
      </x:c>
      <x:c r="C172" s="7" t="str">
        <x:v>初級</x:v>
      </x:c>
      <x:c r="D172" s="7" t="str">
        <x:v>4択</x:v>
      </x:c>
      <x:c r="E172" s="7" t="str">
        <x:v>Firestoreから最新5件だけ取得したい。読み取り量を抑えるために使うものは？</x:v>
      </x:c>
      <x:c r="F172" s="7" t="str">
        <x:v>query(collection(db, 'orders'), orderBy('createdAt', 'desc'), limit(5));</x:v>
      </x:c>
      <x:c r="G172" s="7" t="str">
        <x:v>deleteDoc(5)</x:v>
      </x:c>
      <x:c r="H172" s="7" t="str">
        <x:v>serverTimestamp(5)</x:v>
      </x:c>
      <x:c r="I172" s="7" t="str">
        <x:v>limit(5)</x:v>
      </x:c>
      <x:c r="J172" s="7" t="str">
        <x:v>collection(5)</x:v>
      </x:c>
      <x:c r="K172" s="16" t="n">
        <x:v>3</x:v>
      </x:c>
      <x:c r="L172" s="7" t="str">
        <x:v>limit(5)</x:v>
      </x:c>
      <x:c r="M172" s="7" t="str">
        <x:v>取得件数を制限します。</x:v>
      </x:c>
      <x:c r="N172" s="7" t="str">
        <x:v>limitを使うと取得件数を制限できます。大量のドキュメントを毎回読むより、読み取り量と表示速度を管理しやすくなります。</x:v>
      </x:c>
      <x:c r="O172" s="7" t="str">
        <x:v>全範囲</x:v>
      </x:c>
      <x:c r="P172" s="12" t="str">
        <x:v>Firestore,limit,5</x:v>
      </x:c>
    </x:row>
    <x:row r="173" ht="74" customHeight="1">
      <x:c r="A173" s="11" t="str">
        <x:v>FSQ-172</x:v>
      </x:c>
      <x:c r="B173" s="7" t="str">
        <x:v>パフォーマンス</x:v>
      </x:c>
      <x:c r="C173" s="7" t="str">
        <x:v>初級</x:v>
      </x:c>
      <x:c r="D173" s="7" t="str">
        <x:v>4択</x:v>
      </x:c>
      <x:c r="E173" s="7" t="str">
        <x:v>Firestoreから最新10件だけ取得したい。読み取り量を抑えるために使うものは？</x:v>
      </x:c>
      <x:c r="F173" s="7" t="str">
        <x:v>query(collection(db, 'orders'), orderBy('createdAt', 'desc'), limit(10));</x:v>
      </x:c>
      <x:c r="G173" s="7" t="str">
        <x:v>deleteDoc(10)</x:v>
      </x:c>
      <x:c r="H173" s="7" t="str">
        <x:v>serverTimestamp(10)</x:v>
      </x:c>
      <x:c r="I173" s="7" t="str">
        <x:v>collection(10)</x:v>
      </x:c>
      <x:c r="J173" s="7" t="str">
        <x:v>limit(10)</x:v>
      </x:c>
      <x:c r="K173" s="16" t="n">
        <x:v>4</x:v>
      </x:c>
      <x:c r="L173" s="7" t="str">
        <x:v>limit(10)</x:v>
      </x:c>
      <x:c r="M173" s="7" t="str">
        <x:v>取得件数を制限します。</x:v>
      </x:c>
      <x:c r="N173" s="7" t="str">
        <x:v>limitを使うと取得件数を制限できます。大量のドキュメントを毎回読むより、読み取り量と表示速度を管理しやすくなります。</x:v>
      </x:c>
      <x:c r="O173" s="7" t="str">
        <x:v>全範囲</x:v>
      </x:c>
      <x:c r="P173" s="12" t="str">
        <x:v>Firestore,limit,10</x:v>
      </x:c>
    </x:row>
    <x:row r="174" ht="74" customHeight="1">
      <x:c r="A174" s="11" t="str">
        <x:v>FSQ-173</x:v>
      </x:c>
      <x:c r="B174" s="7" t="str">
        <x:v>パフォーマンス</x:v>
      </x:c>
      <x:c r="C174" s="7" t="str">
        <x:v>中級</x:v>
      </x:c>
      <x:c r="D174" s="7" t="str">
        <x:v>4択</x:v>
      </x:c>
      <x:c r="E174" s="7" t="str">
        <x:v>Firestoreから最新20件だけ取得したい。読み取り量を抑えるために使うものは？</x:v>
      </x:c>
      <x:c r="F174" s="7" t="str">
        <x:v>query(collection(db, 'orders'), orderBy('createdAt', 'desc'), limit(20));</x:v>
      </x:c>
      <x:c r="G174" s="7" t="str">
        <x:v>limit(20)</x:v>
      </x:c>
      <x:c r="H174" s="7" t="str">
        <x:v>deleteDoc(20)</x:v>
      </x:c>
      <x:c r="I174" s="7" t="str">
        <x:v>serverTimestamp(20)</x:v>
      </x:c>
      <x:c r="J174" s="7" t="str">
        <x:v>collection(20)</x:v>
      </x:c>
      <x:c r="K174" s="16" t="n">
        <x:v>1</x:v>
      </x:c>
      <x:c r="L174" s="7" t="str">
        <x:v>limit(20)</x:v>
      </x:c>
      <x:c r="M174" s="7" t="str">
        <x:v>取得件数を制限します。</x:v>
      </x:c>
      <x:c r="N174" s="7" t="str">
        <x:v>limitを使うと取得件数を制限できます。大量のドキュメントを毎回読むより、読み取り量と表示速度を管理しやすくなります。</x:v>
      </x:c>
      <x:c r="O174" s="7" t="str">
        <x:v>全範囲</x:v>
      </x:c>
      <x:c r="P174" s="12" t="str">
        <x:v>Firestore,limit,20</x:v>
      </x:c>
    </x:row>
    <x:row r="175" ht="74" customHeight="1">
      <x:c r="A175" s="11" t="str">
        <x:v>FSQ-174</x:v>
      </x:c>
      <x:c r="B175" s="7" t="str">
        <x:v>パフォーマンス</x:v>
      </x:c>
      <x:c r="C175" s="7" t="str">
        <x:v>中級</x:v>
      </x:c>
      <x:c r="D175" s="7" t="str">
        <x:v>4択</x:v>
      </x:c>
      <x:c r="E175" s="7" t="str">
        <x:v>Firestoreから最新30件だけ取得したい。読み取り量を抑えるために使うものは？</x:v>
      </x:c>
      <x:c r="F175" s="7" t="str">
        <x:v>query(collection(db, 'orders'), orderBy('createdAt', 'desc'), limit(30));</x:v>
      </x:c>
      <x:c r="G175" s="7" t="str">
        <x:v>deleteDoc(30)</x:v>
      </x:c>
      <x:c r="H175" s="7" t="str">
        <x:v>limit(30)</x:v>
      </x:c>
      <x:c r="I175" s="7" t="str">
        <x:v>serverTimestamp(30)</x:v>
      </x:c>
      <x:c r="J175" s="7" t="str">
        <x:v>collection(30)</x:v>
      </x:c>
      <x:c r="K175" s="16" t="n">
        <x:v>2</x:v>
      </x:c>
      <x:c r="L175" s="7" t="str">
        <x:v>limit(30)</x:v>
      </x:c>
      <x:c r="M175" s="7" t="str">
        <x:v>取得件数を制限します。</x:v>
      </x:c>
      <x:c r="N175" s="7" t="str">
        <x:v>limitを使うと取得件数を制限できます。大量のドキュメントを毎回読むより、読み取り量と表示速度を管理しやすくなります。</x:v>
      </x:c>
      <x:c r="O175" s="7" t="str">
        <x:v>全範囲</x:v>
      </x:c>
      <x:c r="P175" s="12" t="str">
        <x:v>Firestore,limit,30</x:v>
      </x:c>
    </x:row>
    <x:row r="176" ht="74" customHeight="1">
      <x:c r="A176" s="11" t="str">
        <x:v>FSQ-175</x:v>
      </x:c>
      <x:c r="B176" s="7" t="str">
        <x:v>パフォーマンス</x:v>
      </x:c>
      <x:c r="C176" s="7" t="str">
        <x:v>応用</x:v>
      </x:c>
      <x:c r="D176" s="7" t="str">
        <x:v>4択</x:v>
      </x:c>
      <x:c r="E176" s="7" t="str">
        <x:v>Firestoreから最新50件だけ取得したい。読み取り量を抑えるために使うものは？</x:v>
      </x:c>
      <x:c r="F176" s="7" t="str">
        <x:v>query(collection(db, 'orders'), orderBy('createdAt', 'desc'), limit(50));</x:v>
      </x:c>
      <x:c r="G176" s="7" t="str">
        <x:v>deleteDoc(50)</x:v>
      </x:c>
      <x:c r="H176" s="7" t="str">
        <x:v>serverTimestamp(50)</x:v>
      </x:c>
      <x:c r="I176" s="7" t="str">
        <x:v>limit(50)</x:v>
      </x:c>
      <x:c r="J176" s="7" t="str">
        <x:v>collection(50)</x:v>
      </x:c>
      <x:c r="K176" s="16" t="n">
        <x:v>3</x:v>
      </x:c>
      <x:c r="L176" s="7" t="str">
        <x:v>limit(50)</x:v>
      </x:c>
      <x:c r="M176" s="7" t="str">
        <x:v>取得件数を制限します。</x:v>
      </x:c>
      <x:c r="N176" s="7" t="str">
        <x:v>limitを使うと取得件数を制限できます。大量のドキュメントを毎回読むより、読み取り量と表示速度を管理しやすくなります。</x:v>
      </x:c>
      <x:c r="O176" s="7" t="str">
        <x:v>全範囲</x:v>
      </x:c>
      <x:c r="P176" s="12" t="str">
        <x:v>Firestore,limit,50</x:v>
      </x:c>
    </x:row>
    <x:row r="177" ht="74" customHeight="1">
      <x:c r="A177" s="11" t="str">
        <x:v>FSQ-176</x:v>
      </x:c>
      <x:c r="B177" s="7" t="str">
        <x:v>パフォーマンス</x:v>
      </x:c>
      <x:c r="C177" s="7" t="str">
        <x:v>初級</x:v>
      </x:c>
      <x:c r="D177" s="7" t="str">
        <x:v>4択</x:v>
      </x:c>
      <x:c r="E177" s="7" t="str">
        <x:v>Firestoreから最新100件だけ取得したい。読み取り量を抑えるために使うものは？</x:v>
      </x:c>
      <x:c r="F177" s="7" t="str">
        <x:v>query(collection(db, 'orders'), orderBy('createdAt', 'desc'), limit(100));</x:v>
      </x:c>
      <x:c r="G177" s="7" t="str">
        <x:v>deleteDoc(100)</x:v>
      </x:c>
      <x:c r="H177" s="7" t="str">
        <x:v>serverTimestamp(100)</x:v>
      </x:c>
      <x:c r="I177" s="7" t="str">
        <x:v>collection(100)</x:v>
      </x:c>
      <x:c r="J177" s="7" t="str">
        <x:v>limit(100)</x:v>
      </x:c>
      <x:c r="K177" s="16" t="n">
        <x:v>4</x:v>
      </x:c>
      <x:c r="L177" s="7" t="str">
        <x:v>limit(100)</x:v>
      </x:c>
      <x:c r="M177" s="7" t="str">
        <x:v>取得件数を制限します。</x:v>
      </x:c>
      <x:c r="N177" s="7" t="str">
        <x:v>limitを使うと取得件数を制限できます。大量のドキュメントを毎回読むより、読み取り量と表示速度を管理しやすくなります。</x:v>
      </x:c>
      <x:c r="O177" s="7" t="str">
        <x:v>全範囲</x:v>
      </x:c>
      <x:c r="P177" s="12" t="str">
        <x:v>Firestore,limit,100</x:v>
      </x:c>
    </x:row>
    <x:row r="178" ht="74" customHeight="1">
      <x:c r="A178" s="11" t="str">
        <x:v>FSQ-177</x:v>
      </x:c>
      <x:c r="B178" s="7" t="str">
        <x:v>パフォーマンス</x:v>
      </x:c>
      <x:c r="C178" s="7" t="str">
        <x:v>初級</x:v>
      </x:c>
      <x:c r="D178" s="7" t="str">
        <x:v>4択</x:v>
      </x:c>
      <x:c r="E178" s="7" t="str">
        <x:v>Firestoreから最新200件だけ取得したい。読み取り量を抑えるために使うものは？</x:v>
      </x:c>
      <x:c r="F178" s="7" t="str">
        <x:v>query(collection(db, 'orders'), orderBy('createdAt', 'desc'), limit(200));</x:v>
      </x:c>
      <x:c r="G178" s="7" t="str">
        <x:v>limit(200)</x:v>
      </x:c>
      <x:c r="H178" s="7" t="str">
        <x:v>deleteDoc(200)</x:v>
      </x:c>
      <x:c r="I178" s="7" t="str">
        <x:v>serverTimestamp(200)</x:v>
      </x:c>
      <x:c r="J178" s="7" t="str">
        <x:v>collection(200)</x:v>
      </x:c>
      <x:c r="K178" s="16" t="n">
        <x:v>1</x:v>
      </x:c>
      <x:c r="L178" s="7" t="str">
        <x:v>limit(200)</x:v>
      </x:c>
      <x:c r="M178" s="7" t="str">
        <x:v>取得件数を制限します。</x:v>
      </x:c>
      <x:c r="N178" s="7" t="str">
        <x:v>limitを使うと取得件数を制限できます。大量のドキュメントを毎回読むより、読み取り量と表示速度を管理しやすくなります。</x:v>
      </x:c>
      <x:c r="O178" s="7" t="str">
        <x:v>全範囲</x:v>
      </x:c>
      <x:c r="P178" s="12" t="str">
        <x:v>Firestore,limit,200</x:v>
      </x:c>
    </x:row>
    <x:row r="179" ht="74" customHeight="1">
      <x:c r="A179" s="11" t="str">
        <x:v>FSQ-178</x:v>
      </x:c>
      <x:c r="B179" s="7" t="str">
        <x:v>パフォーマンス</x:v>
      </x:c>
      <x:c r="C179" s="7" t="str">
        <x:v>中級</x:v>
      </x:c>
      <x:c r="D179" s="7" t="str">
        <x:v>4択</x:v>
      </x:c>
      <x:c r="E179" s="7" t="str">
        <x:v>Firestoreから最新500件だけ取得したい。読み取り量を抑えるために使うものは？</x:v>
      </x:c>
      <x:c r="F179" s="7" t="str">
        <x:v>query(collection(db, 'orders'), orderBy('createdAt', 'desc'), limit(500));</x:v>
      </x:c>
      <x:c r="G179" s="7" t="str">
        <x:v>deleteDoc(500)</x:v>
      </x:c>
      <x:c r="H179" s="7" t="str">
        <x:v>limit(500)</x:v>
      </x:c>
      <x:c r="I179" s="7" t="str">
        <x:v>serverTimestamp(500)</x:v>
      </x:c>
      <x:c r="J179" s="7" t="str">
        <x:v>collection(500)</x:v>
      </x:c>
      <x:c r="K179" s="16" t="n">
        <x:v>2</x:v>
      </x:c>
      <x:c r="L179" s="7" t="str">
        <x:v>limit(500)</x:v>
      </x:c>
      <x:c r="M179" s="7" t="str">
        <x:v>取得件数を制限します。</x:v>
      </x:c>
      <x:c r="N179" s="7" t="str">
        <x:v>limitを使うと取得件数を制限できます。大量のドキュメントを毎回読むより、読み取り量と表示速度を管理しやすくなります。</x:v>
      </x:c>
      <x:c r="O179" s="7" t="str">
        <x:v>全範囲</x:v>
      </x:c>
      <x:c r="P179" s="12" t="str">
        <x:v>Firestore,limit,500</x:v>
      </x:c>
    </x:row>
    <x:row r="180" ht="74" customHeight="1">
      <x:c r="A180" s="11" t="str">
        <x:v>FSQ-179</x:v>
      </x:c>
      <x:c r="B180" s="7" t="str">
        <x:v>クエリ</x:v>
      </x:c>
      <x:c r="C180" s="7" t="str">
        <x:v>中級</x:v>
      </x:c>
      <x:c r="D180" s="7" t="str">
        <x:v>4択</x:v>
      </x:c>
      <x:c r="E180" s="7" t="str">
        <x:v>FirestoreクエリAPI「startAfter」の用途として最も近いものは？</x:v>
      </x:c>
      <x:c r="F180" s="7" t="str"/>
      <x:c r="G180" s="7" t="str">
        <x:v>ドキュメントを物理削除する</x:v>
      </x:c>
      <x:c r="H180" s="7" t="str">
        <x:v>サーバー時刻を保存する</x:v>
      </x:c>
      <x:c r="I180" s="7" t="str">
        <x:v>指定したドキュメントの次から取得する</x:v>
      </x:c>
      <x:c r="J180" s="7" t="str">
        <x:v>配列に値を追加する</x:v>
      </x:c>
      <x:c r="K180" s="16" t="n">
        <x:v>3</x:v>
      </x:c>
      <x:c r="L180" s="7" t="str">
        <x:v>指定したドキュメントの次から取得する</x:v>
      </x:c>
      <x:c r="M180" s="7" t="str">
        <x:v>クエリ結果の範囲、並び順、対象を調整するAPIです。</x:v>
      </x:c>
      <x:c r="N180" s="7" t="str">
        <x:v>startAfterはFirestoreクエリを組み立てるためのAPIです。一覧表示、ページング、横断検索などで使います。</x:v>
      </x:c>
      <x:c r="O180" s="7" t="str">
        <x:v>日替わり</x:v>
      </x:c>
      <x:c r="P180" s="12" t="str">
        <x:v>Firestore,query,startAfter</x:v>
      </x:c>
    </x:row>
    <x:row r="181" ht="74" customHeight="1">
      <x:c r="A181" s="11" t="str">
        <x:v>FSQ-180</x:v>
      </x:c>
      <x:c r="B181" s="7" t="str">
        <x:v>クエリ</x:v>
      </x:c>
      <x:c r="C181" s="7" t="str">
        <x:v>応用</x:v>
      </x:c>
      <x:c r="D181" s="7" t="str">
        <x:v>4択</x:v>
      </x:c>
      <x:c r="E181" s="7" t="str">
        <x:v>FirestoreクエリAPI「startAt」の用途として最も近いものは？</x:v>
      </x:c>
      <x:c r="F181" s="7" t="str"/>
      <x:c r="G181" s="7" t="str">
        <x:v>ドキュメントを物理削除する</x:v>
      </x:c>
      <x:c r="H181" s="7" t="str">
        <x:v>サーバー時刻を保存する</x:v>
      </x:c>
      <x:c r="I181" s="7" t="str">
        <x:v>配列に値を追加する</x:v>
      </x:c>
      <x:c r="J181" s="7" t="str">
        <x:v>指定した位置から取得を始める</x:v>
      </x:c>
      <x:c r="K181" s="16" t="n">
        <x:v>4</x:v>
      </x:c>
      <x:c r="L181" s="7" t="str">
        <x:v>指定した位置から取得を始める</x:v>
      </x:c>
      <x:c r="M181" s="7" t="str">
        <x:v>クエリ結果の範囲、並び順、対象を調整するAPIです。</x:v>
      </x:c>
      <x:c r="N181" s="7" t="str">
        <x:v>startAtはFirestoreクエリを組み立てるためのAPIです。一覧表示、ページング、横断検索などで使います。</x:v>
      </x:c>
      <x:c r="O181" s="7" t="str">
        <x:v>日替わり</x:v>
      </x:c>
      <x:c r="P181" s="12" t="str">
        <x:v>Firestore,query,startAt</x:v>
      </x:c>
    </x:row>
    <x:row r="182" ht="74" customHeight="1">
      <x:c r="A182" s="11" t="str">
        <x:v>FSQ-181</x:v>
      </x:c>
      <x:c r="B182" s="7" t="str">
        <x:v>クエリ</x:v>
      </x:c>
      <x:c r="C182" s="7" t="str">
        <x:v>初級</x:v>
      </x:c>
      <x:c r="D182" s="7" t="str">
        <x:v>4択</x:v>
      </x:c>
      <x:c r="E182" s="7" t="str">
        <x:v>FirestoreクエリAPI「endBefore」の用途として最も近いものは？</x:v>
      </x:c>
      <x:c r="F182" s="7" t="str"/>
      <x:c r="G182" s="7" t="str">
        <x:v>指定した位置の手前まで取得する</x:v>
      </x:c>
      <x:c r="H182" s="7" t="str">
        <x:v>ドキュメントを物理削除する</x:v>
      </x:c>
      <x:c r="I182" s="7" t="str">
        <x:v>サーバー時刻を保存する</x:v>
      </x:c>
      <x:c r="J182" s="7" t="str">
        <x:v>配列に値を追加する</x:v>
      </x:c>
      <x:c r="K182" s="16" t="n">
        <x:v>1</x:v>
      </x:c>
      <x:c r="L182" s="7" t="str">
        <x:v>指定した位置の手前まで取得する</x:v>
      </x:c>
      <x:c r="M182" s="7" t="str">
        <x:v>クエリ結果の範囲、並び順、対象を調整するAPIです。</x:v>
      </x:c>
      <x:c r="N182" s="7" t="str">
        <x:v>endBeforeはFirestoreクエリを組み立てるためのAPIです。一覧表示、ページング、横断検索などで使います。</x:v>
      </x:c>
      <x:c r="O182" s="7" t="str">
        <x:v>日替わり</x:v>
      </x:c>
      <x:c r="P182" s="12" t="str">
        <x:v>Firestore,query,endBefore</x:v>
      </x:c>
    </x:row>
    <x:row r="183" ht="74" customHeight="1">
      <x:c r="A183" s="11" t="str">
        <x:v>FSQ-182</x:v>
      </x:c>
      <x:c r="B183" s="7" t="str">
        <x:v>クエリ</x:v>
      </x:c>
      <x:c r="C183" s="7" t="str">
        <x:v>初級</x:v>
      </x:c>
      <x:c r="D183" s="7" t="str">
        <x:v>4択</x:v>
      </x:c>
      <x:c r="E183" s="7" t="str">
        <x:v>FirestoreクエリAPI「endAt」の用途として最も近いものは？</x:v>
      </x:c>
      <x:c r="F183" s="7" t="str"/>
      <x:c r="G183" s="7" t="str">
        <x:v>ドキュメントを物理削除する</x:v>
      </x:c>
      <x:c r="H183" s="7" t="str">
        <x:v>指定した位置まで取得する</x:v>
      </x:c>
      <x:c r="I183" s="7" t="str">
        <x:v>サーバー時刻を保存する</x:v>
      </x:c>
      <x:c r="J183" s="7" t="str">
        <x:v>配列に値を追加する</x:v>
      </x:c>
      <x:c r="K183" s="16" t="n">
        <x:v>2</x:v>
      </x:c>
      <x:c r="L183" s="7" t="str">
        <x:v>指定した位置まで取得する</x:v>
      </x:c>
      <x:c r="M183" s="7" t="str">
        <x:v>クエリ結果の範囲、並び順、対象を調整するAPIです。</x:v>
      </x:c>
      <x:c r="N183" s="7" t="str">
        <x:v>endAtはFirestoreクエリを組み立てるためのAPIです。一覧表示、ページング、横断検索などで使います。</x:v>
      </x:c>
      <x:c r="O183" s="7" t="str">
        <x:v>日替わり</x:v>
      </x:c>
      <x:c r="P183" s="12" t="str">
        <x:v>Firestore,query,endAt</x:v>
      </x:c>
    </x:row>
    <x:row r="184" ht="74" customHeight="1">
      <x:c r="A184" s="11" t="str">
        <x:v>FSQ-183</x:v>
      </x:c>
      <x:c r="B184" s="7" t="str">
        <x:v>クエリ</x:v>
      </x:c>
      <x:c r="C184" s="7" t="str">
        <x:v>中級</x:v>
      </x:c>
      <x:c r="D184" s="7" t="str">
        <x:v>4択</x:v>
      </x:c>
      <x:c r="E184" s="7" t="str">
        <x:v>FirestoreクエリAPI「limitToLast」の用途として最も近いものは？</x:v>
      </x:c>
      <x:c r="F184" s="7" t="str"/>
      <x:c r="G184" s="7" t="str">
        <x:v>ドキュメントを物理削除する</x:v>
      </x:c>
      <x:c r="H184" s="7" t="str">
        <x:v>サーバー時刻を保存する</x:v>
      </x:c>
      <x:c r="I184" s="7" t="str">
        <x:v>並び順の末尾側から件数を制限する</x:v>
      </x:c>
      <x:c r="J184" s="7" t="str">
        <x:v>配列に値を追加する</x:v>
      </x:c>
      <x:c r="K184" s="16" t="n">
        <x:v>3</x:v>
      </x:c>
      <x:c r="L184" s="7" t="str">
        <x:v>並び順の末尾側から件数を制限する</x:v>
      </x:c>
      <x:c r="M184" s="7" t="str">
        <x:v>クエリ結果の範囲、並び順、対象を調整するAPIです。</x:v>
      </x:c>
      <x:c r="N184" s="7" t="str">
        <x:v>limitToLastはFirestoreクエリを組み立てるためのAPIです。一覧表示、ページング、横断検索などで使います。</x:v>
      </x:c>
      <x:c r="O184" s="7" t="str">
        <x:v>日替わり</x:v>
      </x:c>
      <x:c r="P184" s="12" t="str">
        <x:v>Firestore,query,limitToLast</x:v>
      </x:c>
    </x:row>
    <x:row r="185" ht="74" customHeight="1">
      <x:c r="A185" s="11" t="str">
        <x:v>FSQ-184</x:v>
      </x:c>
      <x:c r="B185" s="7" t="str">
        <x:v>クエリ</x:v>
      </x:c>
      <x:c r="C185" s="7" t="str">
        <x:v>中級</x:v>
      </x:c>
      <x:c r="D185" s="7" t="str">
        <x:v>4択</x:v>
      </x:c>
      <x:c r="E185" s="7" t="str">
        <x:v>FirestoreクエリAPI「orderBy」の用途として最も近いものは？</x:v>
      </x:c>
      <x:c r="F185" s="7" t="str"/>
      <x:c r="G185" s="7" t="str">
        <x:v>ドキュメントを物理削除する</x:v>
      </x:c>
      <x:c r="H185" s="7" t="str">
        <x:v>サーバー時刻を保存する</x:v>
      </x:c>
      <x:c r="I185" s="7" t="str">
        <x:v>配列に値を追加する</x:v>
      </x:c>
      <x:c r="J185" s="7" t="str">
        <x:v>指定フィールドで並び替える</x:v>
      </x:c>
      <x:c r="K185" s="16" t="n">
        <x:v>4</x:v>
      </x:c>
      <x:c r="L185" s="7" t="str">
        <x:v>指定フィールドで並び替える</x:v>
      </x:c>
      <x:c r="M185" s="7" t="str">
        <x:v>クエリ結果の範囲、並び順、対象を調整するAPIです。</x:v>
      </x:c>
      <x:c r="N185" s="7" t="str">
        <x:v>orderByはFirestoreクエリを組み立てるためのAPIです。一覧表示、ページング、横断検索などで使います。</x:v>
      </x:c>
      <x:c r="O185" s="7" t="str">
        <x:v>日替わり</x:v>
      </x:c>
      <x:c r="P185" s="12" t="str">
        <x:v>Firestore,query,orderBy</x:v>
      </x:c>
    </x:row>
    <x:row r="186" ht="74" customHeight="1">
      <x:c r="A186" s="11" t="str">
        <x:v>FSQ-185</x:v>
      </x:c>
      <x:c r="B186" s="7" t="str">
        <x:v>クエリ</x:v>
      </x:c>
      <x:c r="C186" s="7" t="str">
        <x:v>応用</x:v>
      </x:c>
      <x:c r="D186" s="7" t="str">
        <x:v>4択</x:v>
      </x:c>
      <x:c r="E186" s="7" t="str">
        <x:v>FirestoreクエリAPI「where」の用途として最も近いものは？</x:v>
      </x:c>
      <x:c r="F186" s="7" t="str"/>
      <x:c r="G186" s="7" t="str">
        <x:v>フィールド条件で絞り込む</x:v>
      </x:c>
      <x:c r="H186" s="7" t="str">
        <x:v>ドキュメントを物理削除する</x:v>
      </x:c>
      <x:c r="I186" s="7" t="str">
        <x:v>サーバー時刻を保存する</x:v>
      </x:c>
      <x:c r="J186" s="7" t="str">
        <x:v>配列に値を追加する</x:v>
      </x:c>
      <x:c r="K186" s="16" t="n">
        <x:v>1</x:v>
      </x:c>
      <x:c r="L186" s="7" t="str">
        <x:v>フィールド条件で絞り込む</x:v>
      </x:c>
      <x:c r="M186" s="7" t="str">
        <x:v>クエリ結果の範囲、並び順、対象を調整するAPIです。</x:v>
      </x:c>
      <x:c r="N186" s="7" t="str">
        <x:v>whereはFirestoreクエリを組み立てるためのAPIです。一覧表示、ページング、横断検索などで使います。</x:v>
      </x:c>
      <x:c r="O186" s="7" t="str">
        <x:v>日替わり</x:v>
      </x:c>
      <x:c r="P186" s="12" t="str">
        <x:v>Firestore,query,where</x:v>
      </x:c>
    </x:row>
    <x:row r="187" ht="74" customHeight="1">
      <x:c r="A187" s="11" t="str">
        <x:v>FSQ-186</x:v>
      </x:c>
      <x:c r="B187" s="7" t="str">
        <x:v>クエリ</x:v>
      </x:c>
      <x:c r="C187" s="7" t="str">
        <x:v>初級</x:v>
      </x:c>
      <x:c r="D187" s="7" t="str">
        <x:v>4択</x:v>
      </x:c>
      <x:c r="E187" s="7" t="str">
        <x:v>FirestoreクエリAPI「collectionGroup」の用途として最も近いものは？</x:v>
      </x:c>
      <x:c r="F187" s="7" t="str"/>
      <x:c r="G187" s="7" t="str">
        <x:v>ドキュメントを物理削除する</x:v>
      </x:c>
      <x:c r="H187" s="7" t="str">
        <x:v>同名サブコレクションを横断検索する</x:v>
      </x:c>
      <x:c r="I187" s="7" t="str">
        <x:v>サーバー時刻を保存する</x:v>
      </x:c>
      <x:c r="J187" s="7" t="str">
        <x:v>配列に値を追加する</x:v>
      </x:c>
      <x:c r="K187" s="16" t="n">
        <x:v>2</x:v>
      </x:c>
      <x:c r="L187" s="7" t="str">
        <x:v>同名サブコレクションを横断検索する</x:v>
      </x:c>
      <x:c r="M187" s="7" t="str">
        <x:v>クエリ結果の範囲、並び順、対象を調整するAPIです。</x:v>
      </x:c>
      <x:c r="N187" s="7" t="str">
        <x:v>collectionGroupはFirestoreクエリを組み立てるためのAPIです。一覧表示、ページング、横断検索などで使います。</x:v>
      </x:c>
      <x:c r="O187" s="7" t="str">
        <x:v>日替わり</x:v>
      </x:c>
      <x:c r="P187" s="12" t="str">
        <x:v>Firestore,query,collectionGroup</x:v>
      </x:c>
    </x:row>
    <x:row r="188" ht="74" customHeight="1">
      <x:c r="A188" s="11" t="str">
        <x:v>FSQ-187</x:v>
      </x:c>
      <x:c r="B188" s="7" t="str">
        <x:v>データ設計</x:v>
      </x:c>
      <x:c r="C188" s="7" t="str">
        <x:v>初級</x:v>
      </x:c>
      <x:c r="D188" s="7" t="str">
        <x:v>4択</x:v>
      </x:c>
      <x:c r="E188" s="7" t="str">
        <x:v>Firestoreに保存できるデータ型「string」について正しい考え方は？</x:v>
      </x:c>
      <x:c r="F188" s="7" t="str"/>
      <x:c r="G188" s="7" t="str">
        <x:v>すべてHTML文字列に変換しないと保存できない</x:v>
      </x:c>
      <x:c r="H188" s="7" t="str">
        <x:v>CSSファイルにだけ保存できる</x:v>
      </x:c>
      <x:c r="I188" s="7" t="str">
        <x:v>文字列として保存し、完全一致や範囲条件に使える</x:v>
      </x:c>
      <x:c r="J188" s="7" t="str">
        <x:v>Security Rulesでは一切判定できない</x:v>
      </x:c>
      <x:c r="K188" s="16" t="n">
        <x:v>3</x:v>
      </x:c>
      <x:c r="L188" s="7" t="str">
        <x:v>文字列として保存し、完全一致や範囲条件に使える</x:v>
      </x:c>
      <x:c r="M188" s="7" t="str">
        <x:v>Firestoreは複数のデータ型を扱えます。</x:v>
      </x:c>
      <x:c r="N188" s="7" t="str">
        <x:v>Firestoreでは文字列、数値、真偽値、Timestamp、Map、Arrayなどを保存できます。用途に合う型で保存すると検索や集計がしやすくなります。</x:v>
      </x:c>
      <x:c r="O188" s="7" t="str">
        <x:v>全範囲</x:v>
      </x:c>
      <x:c r="P188" s="12" t="str">
        <x:v>Firestore,type,string</x:v>
      </x:c>
    </x:row>
    <x:row r="189" ht="74" customHeight="1">
      <x:c r="A189" s="11" t="str">
        <x:v>FSQ-188</x:v>
      </x:c>
      <x:c r="B189" s="7" t="str">
        <x:v>データ設計</x:v>
      </x:c>
      <x:c r="C189" s="7" t="str">
        <x:v>中級</x:v>
      </x:c>
      <x:c r="D189" s="7" t="str">
        <x:v>4択</x:v>
      </x:c>
      <x:c r="E189" s="7" t="str">
        <x:v>Firestoreに保存できるデータ型「number」について正しい考え方は？</x:v>
      </x:c>
      <x:c r="F189" s="7" t="str"/>
      <x:c r="G189" s="7" t="str">
        <x:v>すべてHTML文字列に変換しないと保存できない</x:v>
      </x:c>
      <x:c r="H189" s="7" t="str">
        <x:v>CSSファイルにだけ保存できる</x:v>
      </x:c>
      <x:c r="I189" s="7" t="str">
        <x:v>Security Rulesでは一切判定できない</x:v>
      </x:c>
      <x:c r="J189" s="7" t="str">
        <x:v>数値として保存し、大小比較や加算に使える</x:v>
      </x:c>
      <x:c r="K189" s="16" t="n">
        <x:v>4</x:v>
      </x:c>
      <x:c r="L189" s="7" t="str">
        <x:v>数値として保存し、大小比較や加算に使える</x:v>
      </x:c>
      <x:c r="M189" s="7" t="str">
        <x:v>Firestoreは複数のデータ型を扱えます。</x:v>
      </x:c>
      <x:c r="N189" s="7" t="str">
        <x:v>Firestoreでは文字列、数値、真偽値、Timestamp、Map、Arrayなどを保存できます。用途に合う型で保存すると検索や集計がしやすくなります。</x:v>
      </x:c>
      <x:c r="O189" s="7" t="str">
        <x:v>全範囲</x:v>
      </x:c>
      <x:c r="P189" s="12" t="str">
        <x:v>Firestore,type,number</x:v>
      </x:c>
    </x:row>
    <x:row r="190" ht="74" customHeight="1">
      <x:c r="A190" s="11" t="str">
        <x:v>FSQ-189</x:v>
      </x:c>
      <x:c r="B190" s="7" t="str">
        <x:v>データ設計</x:v>
      </x:c>
      <x:c r="C190" s="7" t="str">
        <x:v>中級</x:v>
      </x:c>
      <x:c r="D190" s="7" t="str">
        <x:v>4択</x:v>
      </x:c>
      <x:c r="E190" s="7" t="str">
        <x:v>Firestoreに保存できるデータ型「boolean」について正しい考え方は？</x:v>
      </x:c>
      <x:c r="F190" s="7" t="str"/>
      <x:c r="G190" s="7" t="str">
        <x:v>true/falseとして状態判定に使える</x:v>
      </x:c>
      <x:c r="H190" s="7" t="str">
        <x:v>すべてHTML文字列に変換しないと保存できない</x:v>
      </x:c>
      <x:c r="I190" s="7" t="str">
        <x:v>CSSファイルにだけ保存できる</x:v>
      </x:c>
      <x:c r="J190" s="7" t="str">
        <x:v>Security Rulesでは一切判定できない</x:v>
      </x:c>
      <x:c r="K190" s="16" t="n">
        <x:v>1</x:v>
      </x:c>
      <x:c r="L190" s="7" t="str">
        <x:v>true/falseとして状態判定に使える</x:v>
      </x:c>
      <x:c r="M190" s="7" t="str">
        <x:v>Firestoreは複数のデータ型を扱えます。</x:v>
      </x:c>
      <x:c r="N190" s="7" t="str">
        <x:v>Firestoreでは文字列、数値、真偽値、Timestamp、Map、Arrayなどを保存できます。用途に合う型で保存すると検索や集計がしやすくなります。</x:v>
      </x:c>
      <x:c r="O190" s="7" t="str">
        <x:v>全範囲</x:v>
      </x:c>
      <x:c r="P190" s="12" t="str">
        <x:v>Firestore,type,boolean</x:v>
      </x:c>
    </x:row>
    <x:row r="191" ht="74" customHeight="1">
      <x:c r="A191" s="11" t="str">
        <x:v>FSQ-190</x:v>
      </x:c>
      <x:c r="B191" s="7" t="str">
        <x:v>データ設計</x:v>
      </x:c>
      <x:c r="C191" s="7" t="str">
        <x:v>応用</x:v>
      </x:c>
      <x:c r="D191" s="7" t="str">
        <x:v>4択</x:v>
      </x:c>
      <x:c r="E191" s="7" t="str">
        <x:v>Firestoreに保存できるデータ型「timestamp」について正しい考え方は？</x:v>
      </x:c>
      <x:c r="F191" s="7" t="str"/>
      <x:c r="G191" s="7" t="str">
        <x:v>すべてHTML文字列に変換しないと保存できない</x:v>
      </x:c>
      <x:c r="H191" s="7" t="str">
        <x:v>日時として並び替えや期間条件に使える</x:v>
      </x:c>
      <x:c r="I191" s="7" t="str">
        <x:v>CSSファイルにだけ保存できる</x:v>
      </x:c>
      <x:c r="J191" s="7" t="str">
        <x:v>Security Rulesでは一切判定できない</x:v>
      </x:c>
      <x:c r="K191" s="16" t="n">
        <x:v>2</x:v>
      </x:c>
      <x:c r="L191" s="7" t="str">
        <x:v>日時として並び替えや期間条件に使える</x:v>
      </x:c>
      <x:c r="M191" s="7" t="str">
        <x:v>Firestoreは複数のデータ型を扱えます。</x:v>
      </x:c>
      <x:c r="N191" s="7" t="str">
        <x:v>Firestoreでは文字列、数値、真偽値、Timestamp、Map、Arrayなどを保存できます。用途に合う型で保存すると検索や集計がしやすくなります。</x:v>
      </x:c>
      <x:c r="O191" s="7" t="str">
        <x:v>全範囲</x:v>
      </x:c>
      <x:c r="P191" s="12" t="str">
        <x:v>Firestore,type,timestamp</x:v>
      </x:c>
    </x:row>
    <x:row r="192" ht="74" customHeight="1">
      <x:c r="A192" s="11" t="str">
        <x:v>FSQ-191</x:v>
      </x:c>
      <x:c r="B192" s="7" t="str">
        <x:v>データ設計</x:v>
      </x:c>
      <x:c r="C192" s="7" t="str">
        <x:v>初級</x:v>
      </x:c>
      <x:c r="D192" s="7" t="str">
        <x:v>4択</x:v>
      </x:c>
      <x:c r="E192" s="7" t="str">
        <x:v>Firestoreに保存できるデータ型「map」について正しい考え方は？</x:v>
      </x:c>
      <x:c r="F192" s="7" t="str"/>
      <x:c r="G192" s="7" t="str">
        <x:v>すべてHTML文字列に変換しないと保存できない</x:v>
      </x:c>
      <x:c r="H192" s="7" t="str">
        <x:v>CSSファイルにだけ保存できる</x:v>
      </x:c>
      <x:c r="I192" s="7" t="str">
        <x:v>関連する複数フィールドを入れ子でまとめられる</x:v>
      </x:c>
      <x:c r="J192" s="7" t="str">
        <x:v>Security Rulesでは一切判定できない</x:v>
      </x:c>
      <x:c r="K192" s="16" t="n">
        <x:v>3</x:v>
      </x:c>
      <x:c r="L192" s="7" t="str">
        <x:v>関連する複数フィールドを入れ子でまとめられる</x:v>
      </x:c>
      <x:c r="M192" s="7" t="str">
        <x:v>Firestoreは複数のデータ型を扱えます。</x:v>
      </x:c>
      <x:c r="N192" s="7" t="str">
        <x:v>Firestoreでは文字列、数値、真偽値、Timestamp、Map、Arrayなどを保存できます。用途に合う型で保存すると検索や集計がしやすくなります。</x:v>
      </x:c>
      <x:c r="O192" s="7" t="str">
        <x:v>全範囲</x:v>
      </x:c>
      <x:c r="P192" s="12" t="str">
        <x:v>Firestore,type,map</x:v>
      </x:c>
    </x:row>
    <x:row r="193" ht="74" customHeight="1">
      <x:c r="A193" s="11" t="str">
        <x:v>FSQ-192</x:v>
      </x:c>
      <x:c r="B193" s="7" t="str">
        <x:v>データ設計</x:v>
      </x:c>
      <x:c r="C193" s="7" t="str">
        <x:v>初級</x:v>
      </x:c>
      <x:c r="D193" s="7" t="str">
        <x:v>4択</x:v>
      </x:c>
      <x:c r="E193" s="7" t="str">
        <x:v>Firestoreに保存できるデータ型「array」について正しい考え方は？</x:v>
      </x:c>
      <x:c r="F193" s="7" t="str"/>
      <x:c r="G193" s="7" t="str">
        <x:v>すべてHTML文字列に変換しないと保存できない</x:v>
      </x:c>
      <x:c r="H193" s="7" t="str">
        <x:v>CSSファイルにだけ保存できる</x:v>
      </x:c>
      <x:c r="I193" s="7" t="str">
        <x:v>Security Rulesでは一切判定できない</x:v>
      </x:c>
      <x:c r="J193" s="7" t="str">
        <x:v>複数値を1フィールドに保持できる</x:v>
      </x:c>
      <x:c r="K193" s="16" t="n">
        <x:v>4</x:v>
      </x:c>
      <x:c r="L193" s="7" t="str">
        <x:v>複数値を1フィールドに保持できる</x:v>
      </x:c>
      <x:c r="M193" s="7" t="str">
        <x:v>Firestoreは複数のデータ型を扱えます。</x:v>
      </x:c>
      <x:c r="N193" s="7" t="str">
        <x:v>Firestoreでは文字列、数値、真偽値、Timestamp、Map、Arrayなどを保存できます。用途に合う型で保存すると検索や集計がしやすくなります。</x:v>
      </x:c>
      <x:c r="O193" s="7" t="str">
        <x:v>全範囲</x:v>
      </x:c>
      <x:c r="P193" s="12" t="str">
        <x:v>Firestore,type,array</x:v>
      </x:c>
    </x:row>
    <x:row r="194" ht="74" customHeight="1">
      <x:c r="A194" s="11" t="str">
        <x:v>FSQ-193</x:v>
      </x:c>
      <x:c r="B194" s="7" t="str">
        <x:v>データ設計</x:v>
      </x:c>
      <x:c r="C194" s="7" t="str">
        <x:v>中級</x:v>
      </x:c>
      <x:c r="D194" s="7" t="str">
        <x:v>4択</x:v>
      </x:c>
      <x:c r="E194" s="7" t="str">
        <x:v>Firestoreに保存できるデータ型「null」について正しい考え方は？</x:v>
      </x:c>
      <x:c r="F194" s="7" t="str"/>
      <x:c r="G194" s="7" t="str">
        <x:v>値がない状態を明示できる</x:v>
      </x:c>
      <x:c r="H194" s="7" t="str">
        <x:v>すべてHTML文字列に変換しないと保存できない</x:v>
      </x:c>
      <x:c r="I194" s="7" t="str">
        <x:v>CSSファイルにだけ保存できる</x:v>
      </x:c>
      <x:c r="J194" s="7" t="str">
        <x:v>Security Rulesでは一切判定できない</x:v>
      </x:c>
      <x:c r="K194" s="16" t="n">
        <x:v>1</x:v>
      </x:c>
      <x:c r="L194" s="7" t="str">
        <x:v>値がない状態を明示できる</x:v>
      </x:c>
      <x:c r="M194" s="7" t="str">
        <x:v>Firestoreは複数のデータ型を扱えます。</x:v>
      </x:c>
      <x:c r="N194" s="7" t="str">
        <x:v>Firestoreでは文字列、数値、真偽値、Timestamp、Map、Arrayなどを保存できます。用途に合う型で保存すると検索や集計がしやすくなります。</x:v>
      </x:c>
      <x:c r="O194" s="7" t="str">
        <x:v>全範囲</x:v>
      </x:c>
      <x:c r="P194" s="12" t="str">
        <x:v>Firestore,type,null</x:v>
      </x:c>
    </x:row>
    <x:row r="195" ht="74" customHeight="1">
      <x:c r="A195" s="11" t="str">
        <x:v>FSQ-194</x:v>
      </x:c>
      <x:c r="B195" s="7" t="str">
        <x:v>データ設計</x:v>
      </x:c>
      <x:c r="C195" s="7" t="str">
        <x:v>中級</x:v>
      </x:c>
      <x:c r="D195" s="7" t="str">
        <x:v>4択</x:v>
      </x:c>
      <x:c r="E195" s="7" t="str">
        <x:v>Firestoreに保存できるデータ型「reference」について正しい考え方は？</x:v>
      </x:c>
      <x:c r="F195" s="7" t="str"/>
      <x:c r="G195" s="7" t="str">
        <x:v>すべてHTML文字列に変換しないと保存できない</x:v>
      </x:c>
      <x:c r="H195" s="7" t="str">
        <x:v>別ドキュメントへの参照値として保存できる</x:v>
      </x:c>
      <x:c r="I195" s="7" t="str">
        <x:v>CSSファイルにだけ保存できる</x:v>
      </x:c>
      <x:c r="J195" s="7" t="str">
        <x:v>Security Rulesでは一切判定できない</x:v>
      </x:c>
      <x:c r="K195" s="16" t="n">
        <x:v>2</x:v>
      </x:c>
      <x:c r="L195" s="7" t="str">
        <x:v>別ドキュメントへの参照値として保存できる</x:v>
      </x:c>
      <x:c r="M195" s="7" t="str">
        <x:v>Firestoreは複数のデータ型を扱えます。</x:v>
      </x:c>
      <x:c r="N195" s="7" t="str">
        <x:v>Firestoreでは文字列、数値、真偽値、Timestamp、Map、Arrayなどを保存できます。用途に合う型で保存すると検索や集計がしやすくなります。</x:v>
      </x:c>
      <x:c r="O195" s="7" t="str">
        <x:v>全範囲</x:v>
      </x:c>
      <x:c r="P195" s="12" t="str">
        <x:v>Firestore,type,reference</x:v>
      </x:c>
    </x:row>
    <x:row r="196" ht="74" customHeight="1">
      <x:c r="A196" s="11" t="str">
        <x:v>FSQ-195</x:v>
      </x:c>
      <x:c r="B196" s="7" t="str">
        <x:v>サブコレクション</x:v>
      </x:c>
      <x:c r="C196" s="7" t="str">
        <x:v>応用</x:v>
      </x:c>
      <x:c r="D196" s="7" t="str">
        <x:v>4択</x:v>
      </x:c>
      <x:c r="E196" s="7" t="str">
        <x:v>users/{userId}/logs のようなパスで、親に紐づく子データを保存する設計を何と呼ぶ？</x:v>
      </x:c>
      <x:c r="F196" s="7" t="str">
        <x:v>users/{userId}/logs</x:v>
      </x:c>
      <x:c r="G196" s="7" t="str">
        <x:v>複合インデックス</x:v>
      </x:c>
      <x:c r="H196" s="7" t="str">
        <x:v>Security Rulesだけ</x:v>
      </x:c>
      <x:c r="I196" s="7" t="str">
        <x:v>サブコレクション</x:v>
      </x:c>
      <x:c r="J196" s="7" t="str">
        <x:v>Cloud Storage</x:v>
      </x:c>
      <x:c r="K196" s="16" t="n">
        <x:v>3</x:v>
      </x:c>
      <x:c r="L196" s="7" t="str">
        <x:v>サブコレクション</x:v>
      </x:c>
      <x:c r="M196" s="7" t="str">
        <x:v>親ドキュメントの下にあるコレクションです。</x:v>
      </x:c>
      <x:c r="N196" s="7" t="str">
        <x:v>サブコレクションは親ドキュメントに紐づく子データを保存する設計です。明細や回答、メッセージのような繰り返しデータで検討します。</x:v>
      </x:c>
      <x:c r="O196" s="7" t="str">
        <x:v>全範囲</x:v>
      </x:c>
      <x:c r="P196" s="12" t="str">
        <x:v>Firestore,subcollection,path</x:v>
      </x:c>
    </x:row>
    <x:row r="197" ht="74" customHeight="1">
      <x:c r="A197" s="11" t="str">
        <x:v>FSQ-196</x:v>
      </x:c>
      <x:c r="B197" s="7" t="str">
        <x:v>サブコレクション</x:v>
      </x:c>
      <x:c r="C197" s="7" t="str">
        <x:v>初級</x:v>
      </x:c>
      <x:c r="D197" s="7" t="str">
        <x:v>4択</x:v>
      </x:c>
      <x:c r="E197" s="7" t="str">
        <x:v>orders/{orderId}/items のようなパスで、親に紐づく子データを保存する設計を何と呼ぶ？</x:v>
      </x:c>
      <x:c r="F197" s="7" t="str">
        <x:v>orders/{orderId}/items</x:v>
      </x:c>
      <x:c r="G197" s="7" t="str">
        <x:v>複合インデックス</x:v>
      </x:c>
      <x:c r="H197" s="7" t="str">
        <x:v>Security Rulesだけ</x:v>
      </x:c>
      <x:c r="I197" s="7" t="str">
        <x:v>Cloud Storage</x:v>
      </x:c>
      <x:c r="J197" s="7" t="str">
        <x:v>サブコレクション</x:v>
      </x:c>
      <x:c r="K197" s="16" t="n">
        <x:v>4</x:v>
      </x:c>
      <x:c r="L197" s="7" t="str">
        <x:v>サブコレクション</x:v>
      </x:c>
      <x:c r="M197" s="7" t="str">
        <x:v>親ドキュメントの下にあるコレクションです。</x:v>
      </x:c>
      <x:c r="N197" s="7" t="str">
        <x:v>サブコレクションは親ドキュメントに紐づく子データを保存する設計です。明細や回答、メッセージのような繰り返しデータで検討します。</x:v>
      </x:c>
      <x:c r="O197" s="7" t="str">
        <x:v>全範囲</x:v>
      </x:c>
      <x:c r="P197" s="12" t="str">
        <x:v>Firestore,subcollection,path</x:v>
      </x:c>
    </x:row>
    <x:row r="198" ht="74" customHeight="1">
      <x:c r="A198" s="11" t="str">
        <x:v>FSQ-197</x:v>
      </x:c>
      <x:c r="B198" s="7" t="str">
        <x:v>サブコレクション</x:v>
      </x:c>
      <x:c r="C198" s="7" t="str">
        <x:v>初級</x:v>
      </x:c>
      <x:c r="D198" s="7" t="str">
        <x:v>4択</x:v>
      </x:c>
      <x:c r="E198" s="7" t="str">
        <x:v>stores/{storeId}/menus のようなパスで、親に紐づく子データを保存する設計を何と呼ぶ？</x:v>
      </x:c>
      <x:c r="F198" s="7" t="str">
        <x:v>stores/{storeId}/menus</x:v>
      </x:c>
      <x:c r="G198" s="7" t="str">
        <x:v>サブコレクション</x:v>
      </x:c>
      <x:c r="H198" s="7" t="str">
        <x:v>複合インデックス</x:v>
      </x:c>
      <x:c r="I198" s="7" t="str">
        <x:v>Security Rulesだけ</x:v>
      </x:c>
      <x:c r="J198" s="7" t="str">
        <x:v>Cloud Storage</x:v>
      </x:c>
      <x:c r="K198" s="16" t="n">
        <x:v>1</x:v>
      </x:c>
      <x:c r="L198" s="7" t="str">
        <x:v>サブコレクション</x:v>
      </x:c>
      <x:c r="M198" s="7" t="str">
        <x:v>親ドキュメントの下にあるコレクションです。</x:v>
      </x:c>
      <x:c r="N198" s="7" t="str">
        <x:v>サブコレクションは親ドキュメントに紐づく子データを保存する設計です。明細や回答、メッセージのような繰り返しデータで検討します。</x:v>
      </x:c>
      <x:c r="O198" s="7" t="str">
        <x:v>全範囲</x:v>
      </x:c>
      <x:c r="P198" s="12" t="str">
        <x:v>Firestore,subcollection,path</x:v>
      </x:c>
    </x:row>
    <x:row r="199" ht="74" customHeight="1">
      <x:c r="A199" s="11" t="str">
        <x:v>FSQ-198</x:v>
      </x:c>
      <x:c r="B199" s="7" t="str">
        <x:v>サブコレクション</x:v>
      </x:c>
      <x:c r="C199" s="7" t="str">
        <x:v>中級</x:v>
      </x:c>
      <x:c r="D199" s="7" t="str">
        <x:v>4択</x:v>
      </x:c>
      <x:c r="E199" s="7" t="str">
        <x:v>classes/{classId}/students のようなパスで、親に紐づく子データを保存する設計を何と呼ぶ？</x:v>
      </x:c>
      <x:c r="F199" s="7" t="str">
        <x:v>classes/{classId}/students</x:v>
      </x:c>
      <x:c r="G199" s="7" t="str">
        <x:v>複合インデックス</x:v>
      </x:c>
      <x:c r="H199" s="7" t="str">
        <x:v>サブコレクション</x:v>
      </x:c>
      <x:c r="I199" s="7" t="str">
        <x:v>Security Rulesだけ</x:v>
      </x:c>
      <x:c r="J199" s="7" t="str">
        <x:v>Cloud Storage</x:v>
      </x:c>
      <x:c r="K199" s="16" t="n">
        <x:v>2</x:v>
      </x:c>
      <x:c r="L199" s="7" t="str">
        <x:v>サブコレクション</x:v>
      </x:c>
      <x:c r="M199" s="7" t="str">
        <x:v>親ドキュメントの下にあるコレクションです。</x:v>
      </x:c>
      <x:c r="N199" s="7" t="str">
        <x:v>サブコレクションは親ドキュメントに紐づく子データを保存する設計です。明細や回答、メッセージのような繰り返しデータで検討します。</x:v>
      </x:c>
      <x:c r="O199" s="7" t="str">
        <x:v>全範囲</x:v>
      </x:c>
      <x:c r="P199" s="12" t="str">
        <x:v>Firestore,subcollection,path</x:v>
      </x:c>
    </x:row>
    <x:row r="200" ht="74" customHeight="1">
      <x:c r="A200" s="11" t="str">
        <x:v>FSQ-199</x:v>
      </x:c>
      <x:c r="B200" s="7" t="str">
        <x:v>サブコレクション</x:v>
      </x:c>
      <x:c r="C200" s="7" t="str">
        <x:v>中級</x:v>
      </x:c>
      <x:c r="D200" s="7" t="str">
        <x:v>4択</x:v>
      </x:c>
      <x:c r="E200" s="7" t="str">
        <x:v>quizzes/{quizId}/answers のようなパスで、親に紐づく子データを保存する設計を何と呼ぶ？</x:v>
      </x:c>
      <x:c r="F200" s="7" t="str">
        <x:v>quizzes/{quizId}/answers</x:v>
      </x:c>
      <x:c r="G200" s="7" t="str">
        <x:v>複合インデックス</x:v>
      </x:c>
      <x:c r="H200" s="7" t="str">
        <x:v>Security Rulesだけ</x:v>
      </x:c>
      <x:c r="I200" s="7" t="str">
        <x:v>サブコレクション</x:v>
      </x:c>
      <x:c r="J200" s="7" t="str">
        <x:v>Cloud Storage</x:v>
      </x:c>
      <x:c r="K200" s="16" t="n">
        <x:v>3</x:v>
      </x:c>
      <x:c r="L200" s="7" t="str">
        <x:v>サブコレクション</x:v>
      </x:c>
      <x:c r="M200" s="7" t="str">
        <x:v>親ドキュメントの下にあるコレクションです。</x:v>
      </x:c>
      <x:c r="N200" s="7" t="str">
        <x:v>サブコレクションは親ドキュメントに紐づく子データを保存する設計です。明細や回答、メッセージのような繰り返しデータで検討します。</x:v>
      </x:c>
      <x:c r="O200" s="7" t="str">
        <x:v>全範囲</x:v>
      </x:c>
      <x:c r="P200" s="12" t="str">
        <x:v>Firestore,subcollection,path</x:v>
      </x:c>
    </x:row>
    <x:row r="201" ht="74" customHeight="1">
      <x:c r="A201" s="11" t="str">
        <x:v>FSQ-200</x:v>
      </x:c>
      <x:c r="B201" s="7" t="str">
        <x:v>サブコレクション</x:v>
      </x:c>
      <x:c r="C201" s="7" t="str">
        <x:v>応用</x:v>
      </x:c>
      <x:c r="D201" s="7" t="str">
        <x:v>4択</x:v>
      </x:c>
      <x:c r="E201" s="7" t="str">
        <x:v>tables/{tableId}/orders のようなパスで、親に紐づく子データを保存する設計を何と呼ぶ？</x:v>
      </x:c>
      <x:c r="F201" s="7" t="str">
        <x:v>tables/{tableId}/orders</x:v>
      </x:c>
      <x:c r="G201" s="7" t="str">
        <x:v>複合インデックス</x:v>
      </x:c>
      <x:c r="H201" s="7" t="str">
        <x:v>Security Rulesだけ</x:v>
      </x:c>
      <x:c r="I201" s="7" t="str">
        <x:v>Cloud Storage</x:v>
      </x:c>
      <x:c r="J201" s="7" t="str">
        <x:v>サブコレクション</x:v>
      </x:c>
      <x:c r="K201" s="16" t="n">
        <x:v>4</x:v>
      </x:c>
      <x:c r="L201" s="7" t="str">
        <x:v>サブコレクション</x:v>
      </x:c>
      <x:c r="M201" s="7" t="str">
        <x:v>親ドキュメントの下にあるコレクションです。</x:v>
      </x:c>
      <x:c r="N201" s="7" t="str">
        <x:v>サブコレクションは親ドキュメントに紐づく子データを保存する設計です。明細や回答、メッセージのような繰り返しデータで検討します。</x:v>
      </x:c>
      <x:c r="O201" s="7" t="str">
        <x:v>全範囲</x:v>
      </x:c>
      <x:c r="P201" s="12" t="str">
        <x:v>Firestore,subcollection,path</x:v>
      </x:c>
    </x:row>
    <x:row r="202" ht="74" customHeight="1">
      <x:c r="A202" s="11" t="str">
        <x:v>FSQ-201</x:v>
      </x:c>
      <x:c r="B202" s="7" t="str">
        <x:v>サブコレクション</x:v>
      </x:c>
      <x:c r="C202" s="7" t="str">
        <x:v>初級</x:v>
      </x:c>
      <x:c r="D202" s="7" t="str">
        <x:v>4択</x:v>
      </x:c>
      <x:c r="E202" s="7" t="str">
        <x:v>staff/{staffId}/shifts のようなパスで、親に紐づく子データを保存する設計を何と呼ぶ？</x:v>
      </x:c>
      <x:c r="F202" s="7" t="str">
        <x:v>staff/{staffId}/shifts</x:v>
      </x:c>
      <x:c r="G202" s="7" t="str">
        <x:v>サブコレクション</x:v>
      </x:c>
      <x:c r="H202" s="7" t="str">
        <x:v>複合インデックス</x:v>
      </x:c>
      <x:c r="I202" s="7" t="str">
        <x:v>Security Rulesだけ</x:v>
      </x:c>
      <x:c r="J202" s="7" t="str">
        <x:v>Cloud Storage</x:v>
      </x:c>
      <x:c r="K202" s="16" t="n">
        <x:v>1</x:v>
      </x:c>
      <x:c r="L202" s="7" t="str">
        <x:v>サブコレクション</x:v>
      </x:c>
      <x:c r="M202" s="7" t="str">
        <x:v>親ドキュメントの下にあるコレクションです。</x:v>
      </x:c>
      <x:c r="N202" s="7" t="str">
        <x:v>サブコレクションは親ドキュメントに紐づく子データを保存する設計です。明細や回答、メッセージのような繰り返しデータで検討します。</x:v>
      </x:c>
      <x:c r="O202" s="7" t="str">
        <x:v>全範囲</x:v>
      </x:c>
      <x:c r="P202" s="12" t="str">
        <x:v>Firestore,subcollection,path</x:v>
      </x:c>
    </x:row>
    <x:row r="203" ht="74" customHeight="1">
      <x:c r="A203" s="11" t="str">
        <x:v>FSQ-202</x:v>
      </x:c>
      <x:c r="B203" s="7" t="str">
        <x:v>サブコレクション</x:v>
      </x:c>
      <x:c r="C203" s="7" t="str">
        <x:v>初級</x:v>
      </x:c>
      <x:c r="D203" s="7" t="str">
        <x:v>4択</x:v>
      </x:c>
      <x:c r="E203" s="7" t="str">
        <x:v>rooms/{roomId}/messages のようなパスで、親に紐づく子データを保存する設計を何と呼ぶ？</x:v>
      </x:c>
      <x:c r="F203" s="7" t="str">
        <x:v>rooms/{roomId}/messages</x:v>
      </x:c>
      <x:c r="G203" s="7" t="str">
        <x:v>複合インデックス</x:v>
      </x:c>
      <x:c r="H203" s="7" t="str">
        <x:v>サブコレクション</x:v>
      </x:c>
      <x:c r="I203" s="7" t="str">
        <x:v>Security Rulesだけ</x:v>
      </x:c>
      <x:c r="J203" s="7" t="str">
        <x:v>Cloud Storage</x:v>
      </x:c>
      <x:c r="K203" s="16" t="n">
        <x:v>2</x:v>
      </x:c>
      <x:c r="L203" s="7" t="str">
        <x:v>サブコレクション</x:v>
      </x:c>
      <x:c r="M203" s="7" t="str">
        <x:v>親ドキュメントの下にあるコレクションです。</x:v>
      </x:c>
      <x:c r="N203" s="7" t="str">
        <x:v>サブコレクションは親ドキュメントに紐づく子データを保存する設計です。明細や回答、メッセージのような繰り返しデータで検討します。</x:v>
      </x:c>
      <x:c r="O203" s="7" t="str">
        <x:v>全範囲</x:v>
      </x:c>
      <x:c r="P203" s="12" t="str">
        <x:v>Firestore,subcollection,path</x:v>
      </x:c>
    </x:row>
    <x:row r="204" ht="74" customHeight="1">
      <x:c r="A204" s="11" t="str">
        <x:v>FSQ-203</x:v>
      </x:c>
      <x:c r="B204" s="7" t="str">
        <x:v>クエリ</x:v>
      </x:c>
      <x:c r="C204" s="7" t="str">
        <x:v>中級</x:v>
      </x:c>
      <x:c r="D204" s="7" t="str">
        <x:v>4択</x:v>
      </x:c>
      <x:c r="E204" s="7" t="str">
        <x:v>複数の親ドキュメント配下にある「items」サブコレクションを横断検索したい。使うものは？</x:v>
      </x:c>
      <x:c r="F204" s="7" t="str">
        <x:v>collectionGroup(db, 'items')</x:v>
      </x:c>
      <x:c r="G204" s="7" t="str">
        <x:v>docGroup</x:v>
      </x:c>
      <x:c r="H204" s="7" t="str">
        <x:v>arrayUnion</x:v>
      </x:c>
      <x:c r="I204" s="7" t="str">
        <x:v>collectionGroup</x:v>
      </x:c>
      <x:c r="J204" s="7" t="str">
        <x:v>serverTimestamp</x:v>
      </x:c>
      <x:c r="K204" s="16" t="n">
        <x:v>3</x:v>
      </x:c>
      <x:c r="L204" s="7" t="str">
        <x:v>collectionGroup</x:v>
      </x:c>
      <x:c r="M204" s="7" t="str">
        <x:v>同じ名前のサブコレクションを横断します。</x:v>
      </x:c>
      <x:c r="N204" s="7" t="str">
        <x:v>collectionGroupを使うと、階層の異なる場所にある同名サブコレクションをまとめて検索できます。</x:v>
      </x:c>
      <x:c r="O204" s="7" t="str">
        <x:v>日替わり</x:v>
      </x:c>
      <x:c r="P204" s="12" t="str">
        <x:v>Firestore,collectionGroup,items</x:v>
      </x:c>
    </x:row>
    <x:row r="205" ht="74" customHeight="1">
      <x:c r="A205" s="11" t="str">
        <x:v>FSQ-204</x:v>
      </x:c>
      <x:c r="B205" s="7" t="str">
        <x:v>クエリ</x:v>
      </x:c>
      <x:c r="C205" s="7" t="str">
        <x:v>中級</x:v>
      </x:c>
      <x:c r="D205" s="7" t="str">
        <x:v>4択</x:v>
      </x:c>
      <x:c r="E205" s="7" t="str">
        <x:v>複数の親ドキュメント配下にある「answers」サブコレクションを横断検索したい。使うものは？</x:v>
      </x:c>
      <x:c r="F205" s="7" t="str">
        <x:v>collectionGroup(db, 'answers')</x:v>
      </x:c>
      <x:c r="G205" s="7" t="str">
        <x:v>docGroup</x:v>
      </x:c>
      <x:c r="H205" s="7" t="str">
        <x:v>arrayUnion</x:v>
      </x:c>
      <x:c r="I205" s="7" t="str">
        <x:v>serverTimestamp</x:v>
      </x:c>
      <x:c r="J205" s="7" t="str">
        <x:v>collectionGroup</x:v>
      </x:c>
      <x:c r="K205" s="16" t="n">
        <x:v>4</x:v>
      </x:c>
      <x:c r="L205" s="7" t="str">
        <x:v>collectionGroup</x:v>
      </x:c>
      <x:c r="M205" s="7" t="str">
        <x:v>同じ名前のサブコレクションを横断します。</x:v>
      </x:c>
      <x:c r="N205" s="7" t="str">
        <x:v>collectionGroupを使うと、階層の異なる場所にある同名サブコレクションをまとめて検索できます。</x:v>
      </x:c>
      <x:c r="O205" s="7" t="str">
        <x:v>日替わり</x:v>
      </x:c>
      <x:c r="P205" s="12" t="str">
        <x:v>Firestore,collectionGroup,answers</x:v>
      </x:c>
    </x:row>
    <x:row r="206" ht="74" customHeight="1">
      <x:c r="A206" s="11" t="str">
        <x:v>FSQ-205</x:v>
      </x:c>
      <x:c r="B206" s="7" t="str">
        <x:v>クエリ</x:v>
      </x:c>
      <x:c r="C206" s="7" t="str">
        <x:v>応用</x:v>
      </x:c>
      <x:c r="D206" s="7" t="str">
        <x:v>4択</x:v>
      </x:c>
      <x:c r="E206" s="7" t="str">
        <x:v>複数の親ドキュメント配下にある「messages」サブコレクションを横断検索したい。使うものは？</x:v>
      </x:c>
      <x:c r="F206" s="7" t="str">
        <x:v>collectionGroup(db, 'messages')</x:v>
      </x:c>
      <x:c r="G206" s="7" t="str">
        <x:v>collectionGroup</x:v>
      </x:c>
      <x:c r="H206" s="7" t="str">
        <x:v>docGroup</x:v>
      </x:c>
      <x:c r="I206" s="7" t="str">
        <x:v>arrayUnion</x:v>
      </x:c>
      <x:c r="J206" s="7" t="str">
        <x:v>serverTimestamp</x:v>
      </x:c>
      <x:c r="K206" s="16" t="n">
        <x:v>1</x:v>
      </x:c>
      <x:c r="L206" s="7" t="str">
        <x:v>collectionGroup</x:v>
      </x:c>
      <x:c r="M206" s="7" t="str">
        <x:v>同じ名前のサブコレクションを横断します。</x:v>
      </x:c>
      <x:c r="N206" s="7" t="str">
        <x:v>collectionGroupを使うと、階層の異なる場所にある同名サブコレクションをまとめて検索できます。</x:v>
      </x:c>
      <x:c r="O206" s="7" t="str">
        <x:v>日替わり</x:v>
      </x:c>
      <x:c r="P206" s="12" t="str">
        <x:v>Firestore,collectionGroup,messages</x:v>
      </x:c>
    </x:row>
    <x:row r="207" ht="74" customHeight="1">
      <x:c r="A207" s="11" t="str">
        <x:v>FSQ-206</x:v>
      </x:c>
      <x:c r="B207" s="7" t="str">
        <x:v>クエリ</x:v>
      </x:c>
      <x:c r="C207" s="7" t="str">
        <x:v>初級</x:v>
      </x:c>
      <x:c r="D207" s="7" t="str">
        <x:v>4択</x:v>
      </x:c>
      <x:c r="E207" s="7" t="str">
        <x:v>複数の親ドキュメント配下にある「logs」サブコレクションを横断検索したい。使うものは？</x:v>
      </x:c>
      <x:c r="F207" s="7" t="str">
        <x:v>collectionGroup(db, 'logs')</x:v>
      </x:c>
      <x:c r="G207" s="7" t="str">
        <x:v>docGroup</x:v>
      </x:c>
      <x:c r="H207" s="7" t="str">
        <x:v>collectionGroup</x:v>
      </x:c>
      <x:c r="I207" s="7" t="str">
        <x:v>arrayUnion</x:v>
      </x:c>
      <x:c r="J207" s="7" t="str">
        <x:v>serverTimestamp</x:v>
      </x:c>
      <x:c r="K207" s="16" t="n">
        <x:v>2</x:v>
      </x:c>
      <x:c r="L207" s="7" t="str">
        <x:v>collectionGroup</x:v>
      </x:c>
      <x:c r="M207" s="7" t="str">
        <x:v>同じ名前のサブコレクションを横断します。</x:v>
      </x:c>
      <x:c r="N207" s="7" t="str">
        <x:v>collectionGroupを使うと、階層の異なる場所にある同名サブコレクションをまとめて検索できます。</x:v>
      </x:c>
      <x:c r="O207" s="7" t="str">
        <x:v>日替わり</x:v>
      </x:c>
      <x:c r="P207" s="12" t="str">
        <x:v>Firestore,collectionGroup,logs</x:v>
      </x:c>
    </x:row>
    <x:row r="208" ht="74" customHeight="1">
      <x:c r="A208" s="11" t="str">
        <x:v>FSQ-207</x:v>
      </x:c>
      <x:c r="B208" s="7" t="str">
        <x:v>クエリ</x:v>
      </x:c>
      <x:c r="C208" s="7" t="str">
        <x:v>初級</x:v>
      </x:c>
      <x:c r="D208" s="7" t="str">
        <x:v>4択</x:v>
      </x:c>
      <x:c r="E208" s="7" t="str">
        <x:v>複数の親ドキュメント配下にある「comments」サブコレクションを横断検索したい。使うものは？</x:v>
      </x:c>
      <x:c r="F208" s="7" t="str">
        <x:v>collectionGroup(db, 'comments')</x:v>
      </x:c>
      <x:c r="G208" s="7" t="str">
        <x:v>docGroup</x:v>
      </x:c>
      <x:c r="H208" s="7" t="str">
        <x:v>arrayUnion</x:v>
      </x:c>
      <x:c r="I208" s="7" t="str">
        <x:v>collectionGroup</x:v>
      </x:c>
      <x:c r="J208" s="7" t="str">
        <x:v>serverTimestamp</x:v>
      </x:c>
      <x:c r="K208" s="16" t="n">
        <x:v>3</x:v>
      </x:c>
      <x:c r="L208" s="7" t="str">
        <x:v>collectionGroup</x:v>
      </x:c>
      <x:c r="M208" s="7" t="str">
        <x:v>同じ名前のサブコレクションを横断します。</x:v>
      </x:c>
      <x:c r="N208" s="7" t="str">
        <x:v>collectionGroupを使うと、階層の異なる場所にある同名サブコレクションをまとめて検索できます。</x:v>
      </x:c>
      <x:c r="O208" s="7" t="str">
        <x:v>日替わり</x:v>
      </x:c>
      <x:c r="P208" s="12" t="str">
        <x:v>Firestore,collectionGroup,comments</x:v>
      </x:c>
    </x:row>
    <x:row r="209" ht="74" customHeight="1">
      <x:c r="A209" s="11" t="str">
        <x:v>FSQ-208</x:v>
      </x:c>
      <x:c r="B209" s="7" t="str">
        <x:v>クエリ</x:v>
      </x:c>
      <x:c r="C209" s="7" t="str">
        <x:v>中級</x:v>
      </x:c>
      <x:c r="D209" s="7" t="str">
        <x:v>4択</x:v>
      </x:c>
      <x:c r="E209" s="7" t="str">
        <x:v>複数の親ドキュメント配下にある「scores」サブコレクションを横断検索したい。使うものは？</x:v>
      </x:c>
      <x:c r="F209" s="7" t="str">
        <x:v>collectionGroup(db, 'scores')</x:v>
      </x:c>
      <x:c r="G209" s="7" t="str">
        <x:v>docGroup</x:v>
      </x:c>
      <x:c r="H209" s="7" t="str">
        <x:v>arrayUnion</x:v>
      </x:c>
      <x:c r="I209" s="7" t="str">
        <x:v>serverTimestamp</x:v>
      </x:c>
      <x:c r="J209" s="7" t="str">
        <x:v>collectionGroup</x:v>
      </x:c>
      <x:c r="K209" s="16" t="n">
        <x:v>4</x:v>
      </x:c>
      <x:c r="L209" s="7" t="str">
        <x:v>collectionGroup</x:v>
      </x:c>
      <x:c r="M209" s="7" t="str">
        <x:v>同じ名前のサブコレクションを横断します。</x:v>
      </x:c>
      <x:c r="N209" s="7" t="str">
        <x:v>collectionGroupを使うと、階層の異なる場所にある同名サブコレクションをまとめて検索できます。</x:v>
      </x:c>
      <x:c r="O209" s="7" t="str">
        <x:v>日替わり</x:v>
      </x:c>
      <x:c r="P209" s="12" t="str">
        <x:v>Firestore,collectionGroup,scores</x:v>
      </x:c>
    </x:row>
    <x:row r="210" ht="74" customHeight="1">
      <x:c r="A210" s="11" t="str">
        <x:v>FSQ-209</x:v>
      </x:c>
      <x:c r="B210" s="7" t="str">
        <x:v>クエリ</x:v>
      </x:c>
      <x:c r="C210" s="7" t="str">
        <x:v>中級</x:v>
      </x:c>
      <x:c r="D210" s="7" t="str">
        <x:v>4択</x:v>
      </x:c>
      <x:c r="E210" s="7" t="str">
        <x:v>複数の親ドキュメント配下にある「tasks」サブコレクションを横断検索したい。使うものは？</x:v>
      </x:c>
      <x:c r="F210" s="7" t="str">
        <x:v>collectionGroup(db, 'tasks')</x:v>
      </x:c>
      <x:c r="G210" s="7" t="str">
        <x:v>collectionGroup</x:v>
      </x:c>
      <x:c r="H210" s="7" t="str">
        <x:v>docGroup</x:v>
      </x:c>
      <x:c r="I210" s="7" t="str">
        <x:v>arrayUnion</x:v>
      </x:c>
      <x:c r="J210" s="7" t="str">
        <x:v>serverTimestamp</x:v>
      </x:c>
      <x:c r="K210" s="16" t="n">
        <x:v>1</x:v>
      </x:c>
      <x:c r="L210" s="7" t="str">
        <x:v>collectionGroup</x:v>
      </x:c>
      <x:c r="M210" s="7" t="str">
        <x:v>同じ名前のサブコレクションを横断します。</x:v>
      </x:c>
      <x:c r="N210" s="7" t="str">
        <x:v>collectionGroupを使うと、階層の異なる場所にある同名サブコレクションをまとめて検索できます。</x:v>
      </x:c>
      <x:c r="O210" s="7" t="str">
        <x:v>日替わり</x:v>
      </x:c>
      <x:c r="P210" s="12" t="str">
        <x:v>Firestore,collectionGroup,tasks</x:v>
      </x:c>
    </x:row>
    <x:row r="211" ht="74" customHeight="1">
      <x:c r="A211" s="11" t="str">
        <x:v>FSQ-210</x:v>
      </x:c>
      <x:c r="B211" s="7" t="str">
        <x:v>クエリ</x:v>
      </x:c>
      <x:c r="C211" s="7" t="str">
        <x:v>応用</x:v>
      </x:c>
      <x:c r="D211" s="7" t="str">
        <x:v>4択</x:v>
      </x:c>
      <x:c r="E211" s="7" t="str">
        <x:v>複数の親ドキュメント配下にある「events」サブコレクションを横断検索したい。使うものは？</x:v>
      </x:c>
      <x:c r="F211" s="7" t="str">
        <x:v>collectionGroup(db, 'events')</x:v>
      </x:c>
      <x:c r="G211" s="7" t="str">
        <x:v>docGroup</x:v>
      </x:c>
      <x:c r="H211" s="7" t="str">
        <x:v>collectionGroup</x:v>
      </x:c>
      <x:c r="I211" s="7" t="str">
        <x:v>arrayUnion</x:v>
      </x:c>
      <x:c r="J211" s="7" t="str">
        <x:v>serverTimestamp</x:v>
      </x:c>
      <x:c r="K211" s="16" t="n">
        <x:v>2</x:v>
      </x:c>
      <x:c r="L211" s="7" t="str">
        <x:v>collectionGroup</x:v>
      </x:c>
      <x:c r="M211" s="7" t="str">
        <x:v>同じ名前のサブコレクションを横断します。</x:v>
      </x:c>
      <x:c r="N211" s="7" t="str">
        <x:v>collectionGroupを使うと、階層の異なる場所にある同名サブコレクションをまとめて検索できます。</x:v>
      </x:c>
      <x:c r="O211" s="7" t="str">
        <x:v>日替わり</x:v>
      </x:c>
      <x:c r="P211" s="12" t="str">
        <x:v>Firestore,collectionGroup,events</x:v>
      </x:c>
    </x:row>
    <x:row r="212" ht="74" customHeight="1">
      <x:c r="A212" s="11" t="str">
        <x:v>FSQ-211</x:v>
      </x:c>
      <x:c r="B212" s="7" t="str">
        <x:v>セキュリティルール</x:v>
      </x:c>
      <x:c r="C212" s="7" t="str">
        <x:v>初級</x:v>
      </x:c>
      <x:c r="D212" s="7" t="str">
        <x:v>4択</x:v>
      </x:c>
      <x:c r="E212" s="7" t="str">
        <x:v>Security Rulesの条件「request.auth != null」は何を目的に使う？</x:v>
      </x:c>
      <x:c r="F212" s="7" t="str">
        <x:v>request.auth != null</x:v>
      </x:c>
      <x:c r="G212" s="7" t="str">
        <x:v>CSSの色を変えるため</x:v>
      </x:c>
      <x:c r="H212" s="7" t="str">
        <x:v>Excelの列幅を決めるため</x:v>
      </x:c>
      <x:c r="I212" s="7" t="str">
        <x:v>Firestoreの読み書き可否を判定するため</x:v>
      </x:c>
      <x:c r="J212" s="7" t="str">
        <x:v>ブラウザの戻るボタンを止めるため</x:v>
      </x:c>
      <x:c r="K212" s="16" t="n">
        <x:v>3</x:v>
      </x:c>
      <x:c r="L212" s="7" t="str">
        <x:v>Firestoreの読み書き可否を判定するため</x:v>
      </x:c>
      <x:c r="M212" s="7" t="str">
        <x:v>Rulesはデータアクセスの入口で評価されます。</x:v>
      </x:c>
      <x:c r="N212" s="7" t="str">
        <x:v>Security RulesはFirestoreへの読み書きを許可するか判定します。認証状態、ユーザーID、保存データの形などを条件にできます。</x:v>
      </x:c>
      <x:c r="O212" s="7" t="str">
        <x:v>実装判断</x:v>
      </x:c>
      <x:c r="P212" s="12" t="str">
        <x:v>Firestore,rules,request.auth != null</x:v>
      </x:c>
    </x:row>
    <x:row r="213" ht="74" customHeight="1">
      <x:c r="A213" s="11" t="str">
        <x:v>FSQ-212</x:v>
      </x:c>
      <x:c r="B213" s="7" t="str">
        <x:v>セキュリティルール</x:v>
      </x:c>
      <x:c r="C213" s="7" t="str">
        <x:v>初級</x:v>
      </x:c>
      <x:c r="D213" s="7" t="str">
        <x:v>4択</x:v>
      </x:c>
      <x:c r="E213" s="7" t="str">
        <x:v>Security Rulesの条件「request.auth.uid == userId」は何を目的に使う？</x:v>
      </x:c>
      <x:c r="F213" s="7" t="str">
        <x:v>request.auth.uid == userId</x:v>
      </x:c>
      <x:c r="G213" s="7" t="str">
        <x:v>CSSの色を変えるため</x:v>
      </x:c>
      <x:c r="H213" s="7" t="str">
        <x:v>Excelの列幅を決めるため</x:v>
      </x:c>
      <x:c r="I213" s="7" t="str">
        <x:v>ブラウザの戻るボタンを止めるため</x:v>
      </x:c>
      <x:c r="J213" s="7" t="str">
        <x:v>Firestoreの読み書き可否を判定するため</x:v>
      </x:c>
      <x:c r="K213" s="16" t="n">
        <x:v>4</x:v>
      </x:c>
      <x:c r="L213" s="7" t="str">
        <x:v>Firestoreの読み書き可否を判定するため</x:v>
      </x:c>
      <x:c r="M213" s="7" t="str">
        <x:v>Rulesはデータアクセスの入口で評価されます。</x:v>
      </x:c>
      <x:c r="N213" s="7" t="str">
        <x:v>Security RulesはFirestoreへの読み書きを許可するか判定します。認証状態、ユーザーID、保存データの形などを条件にできます。</x:v>
      </x:c>
      <x:c r="O213" s="7" t="str">
        <x:v>実装判断</x:v>
      </x:c>
      <x:c r="P213" s="12" t="str">
        <x:v>Firestore,rules,request.auth.uid == userId</x:v>
      </x:c>
    </x:row>
    <x:row r="214" ht="74" customHeight="1">
      <x:c r="A214" s="11" t="str">
        <x:v>FSQ-213</x:v>
      </x:c>
      <x:c r="B214" s="7" t="str">
        <x:v>セキュリティルール</x:v>
      </x:c>
      <x:c r="C214" s="7" t="str">
        <x:v>中級</x:v>
      </x:c>
      <x:c r="D214" s="7" t="str">
        <x:v>4択</x:v>
      </x:c>
      <x:c r="E214" s="7" t="str">
        <x:v>Security Rulesの条件「resource.data.ownerId == request.auth.uid」は何を目的に使う？</x:v>
      </x:c>
      <x:c r="F214" s="7" t="str">
        <x:v>resource.data.ownerId == request.auth.uid</x:v>
      </x:c>
      <x:c r="G214" s="7" t="str">
        <x:v>Firestoreの読み書き可否を判定するため</x:v>
      </x:c>
      <x:c r="H214" s="7" t="str">
        <x:v>CSSの色を変えるため</x:v>
      </x:c>
      <x:c r="I214" s="7" t="str">
        <x:v>Excelの列幅を決めるため</x:v>
      </x:c>
      <x:c r="J214" s="7" t="str">
        <x:v>ブラウザの戻るボタンを止めるため</x:v>
      </x:c>
      <x:c r="K214" s="16" t="n">
        <x:v>1</x:v>
      </x:c>
      <x:c r="L214" s="7" t="str">
        <x:v>Firestoreの読み書き可否を判定するため</x:v>
      </x:c>
      <x:c r="M214" s="7" t="str">
        <x:v>Rulesはデータアクセスの入口で評価されます。</x:v>
      </x:c>
      <x:c r="N214" s="7" t="str">
        <x:v>Security RulesはFirestoreへの読み書きを許可するか判定します。認証状態、ユーザーID、保存データの形などを条件にできます。</x:v>
      </x:c>
      <x:c r="O214" s="7" t="str">
        <x:v>実装判断</x:v>
      </x:c>
      <x:c r="P214" s="12" t="str">
        <x:v>Firestore,rules,resource.data.ownerId == request.auth.uid</x:v>
      </x:c>
    </x:row>
    <x:row r="215" ht="74" customHeight="1">
      <x:c r="A215" s="11" t="str">
        <x:v>FSQ-214</x:v>
      </x:c>
      <x:c r="B215" s="7" t="str">
        <x:v>セキュリティルール</x:v>
      </x:c>
      <x:c r="C215" s="7" t="str">
        <x:v>中級</x:v>
      </x:c>
      <x:c r="D215" s="7" t="str">
        <x:v>4択</x:v>
      </x:c>
      <x:c r="E215" s="7" t="str">
        <x:v>Security Rulesの条件「request.resource.data.keys().hasOnly([...])」は何を目的に使う？</x:v>
      </x:c>
      <x:c r="F215" s="7" t="str">
        <x:v>request.resource.data.keys().hasOnly([...])</x:v>
      </x:c>
      <x:c r="G215" s="7" t="str">
        <x:v>CSSの色を変えるため</x:v>
      </x:c>
      <x:c r="H215" s="7" t="str">
        <x:v>Firestoreの読み書き可否を判定するため</x:v>
      </x:c>
      <x:c r="I215" s="7" t="str">
        <x:v>Excelの列幅を決めるため</x:v>
      </x:c>
      <x:c r="J215" s="7" t="str">
        <x:v>ブラウザの戻るボタンを止めるため</x:v>
      </x:c>
      <x:c r="K215" s="16" t="n">
        <x:v>2</x:v>
      </x:c>
      <x:c r="L215" s="7" t="str">
        <x:v>Firestoreの読み書き可否を判定するため</x:v>
      </x:c>
      <x:c r="M215" s="7" t="str">
        <x:v>Rulesはデータアクセスの入口で評価されます。</x:v>
      </x:c>
      <x:c r="N215" s="7" t="str">
        <x:v>Security RulesはFirestoreへの読み書きを許可するか判定します。認証状態、ユーザーID、保存データの形などを条件にできます。</x:v>
      </x:c>
      <x:c r="O215" s="7" t="str">
        <x:v>実装判断</x:v>
      </x:c>
      <x:c r="P215" s="12" t="str">
        <x:v>Firestore,rules,request.resource.data.keys().hasOnly([...])</x:v>
      </x:c>
    </x:row>
    <x:row r="216" ht="74" customHeight="1">
      <x:c r="A216" s="11" t="str">
        <x:v>FSQ-215</x:v>
      </x:c>
      <x:c r="B216" s="7" t="str">
        <x:v>セキュリティルール</x:v>
      </x:c>
      <x:c r="C216" s="7" t="str">
        <x:v>応用</x:v>
      </x:c>
      <x:c r="D216" s="7" t="str">
        <x:v>4択</x:v>
      </x:c>
      <x:c r="E216" s="7" t="str">
        <x:v>Security Rulesの条件「request.time &lt; timestamp.date(2030, 1, 1)」は何を目的に使う？</x:v>
      </x:c>
      <x:c r="F216" s="7" t="str">
        <x:v>request.time &lt; timestamp.date(2030, 1, 1)</x:v>
      </x:c>
      <x:c r="G216" s="7" t="str">
        <x:v>CSSの色を変えるため</x:v>
      </x:c>
      <x:c r="H216" s="7" t="str">
        <x:v>Excelの列幅を決めるため</x:v>
      </x:c>
      <x:c r="I216" s="7" t="str">
        <x:v>Firestoreの読み書き可否を判定するため</x:v>
      </x:c>
      <x:c r="J216" s="7" t="str">
        <x:v>ブラウザの戻るボタンを止めるため</x:v>
      </x:c>
      <x:c r="K216" s="16" t="n">
        <x:v>3</x:v>
      </x:c>
      <x:c r="L216" s="7" t="str">
        <x:v>Firestoreの読み書き可否を判定するため</x:v>
      </x:c>
      <x:c r="M216" s="7" t="str">
        <x:v>Rulesはデータアクセスの入口で評価されます。</x:v>
      </x:c>
      <x:c r="N216" s="7" t="str">
        <x:v>Security RulesはFirestoreへの読み書きを許可するか判定します。認証状態、ユーザーID、保存データの形などを条件にできます。</x:v>
      </x:c>
      <x:c r="O216" s="7" t="str">
        <x:v>実装判断</x:v>
      </x:c>
      <x:c r="P216" s="12" t="str">
        <x:v>Firestore,rules,request.time &lt; timestamp.date(2030, 1, 1)</x:v>
      </x:c>
    </x:row>
    <x:row r="217" ht="74" customHeight="1">
      <x:c r="A217" s="11" t="str">
        <x:v>FSQ-216</x:v>
      </x:c>
      <x:c r="B217" s="7" t="str">
        <x:v>セキュリティルール</x:v>
      </x:c>
      <x:c r="C217" s="7" t="str">
        <x:v>初級</x:v>
      </x:c>
      <x:c r="D217" s="7" t="str">
        <x:v>4択</x:v>
      </x:c>
      <x:c r="E217" s="7" t="str">
        <x:v>Security Rulesの条件「get(/databases/$(database)/documents/users/$(request.auth.uid))」は何を目的に使う？</x:v>
      </x:c>
      <x:c r="F217" s="7" t="str">
        <x:v>get(/databases/$(database)/documents/users/$(request.auth.uid))</x:v>
      </x:c>
      <x:c r="G217" s="7" t="str">
        <x:v>CSSの色を変えるため</x:v>
      </x:c>
      <x:c r="H217" s="7" t="str">
        <x:v>Excelの列幅を決めるため</x:v>
      </x:c>
      <x:c r="I217" s="7" t="str">
        <x:v>ブラウザの戻るボタンを止めるため</x:v>
      </x:c>
      <x:c r="J217" s="7" t="str">
        <x:v>Firestoreの読み書き可否を判定するため</x:v>
      </x:c>
      <x:c r="K217" s="16" t="n">
        <x:v>4</x:v>
      </x:c>
      <x:c r="L217" s="7" t="str">
        <x:v>Firestoreの読み書き可否を判定するため</x:v>
      </x:c>
      <x:c r="M217" s="7" t="str">
        <x:v>Rulesはデータアクセスの入口で評価されます。</x:v>
      </x:c>
      <x:c r="N217" s="7" t="str">
        <x:v>Security RulesはFirestoreへの読み書きを許可するか判定します。認証状態、ユーザーID、保存データの形などを条件にできます。</x:v>
      </x:c>
      <x:c r="O217" s="7" t="str">
        <x:v>実装判断</x:v>
      </x:c>
      <x:c r="P217" s="12" t="str">
        <x:v>Firestore,rules,get(/databases/$(database)/documents/users/$(request.auth.uid))</x:v>
      </x:c>
    </x:row>
    <x:row r="218" ht="74" customHeight="1">
      <x:c r="A218" s="11" t="str">
        <x:v>FSQ-217</x:v>
      </x:c>
      <x:c r="B218" s="7" t="str">
        <x:v>セキュリティルール</x:v>
      </x:c>
      <x:c r="C218" s="7" t="str">
        <x:v>初級</x:v>
      </x:c>
      <x:c r="D218" s="7" t="str">
        <x:v>4択</x:v>
      </x:c>
      <x:c r="E218" s="7" t="str">
        <x:v>Security Rulesの条件「allow read」は何を目的に使う？</x:v>
      </x:c>
      <x:c r="F218" s="7" t="str">
        <x:v>allow read</x:v>
      </x:c>
      <x:c r="G218" s="7" t="str">
        <x:v>Firestoreの読み書き可否を判定するため</x:v>
      </x:c>
      <x:c r="H218" s="7" t="str">
        <x:v>CSSの色を変えるため</x:v>
      </x:c>
      <x:c r="I218" s="7" t="str">
        <x:v>Excelの列幅を決めるため</x:v>
      </x:c>
      <x:c r="J218" s="7" t="str">
        <x:v>ブラウザの戻るボタンを止めるため</x:v>
      </x:c>
      <x:c r="K218" s="16" t="n">
        <x:v>1</x:v>
      </x:c>
      <x:c r="L218" s="7" t="str">
        <x:v>Firestoreの読み書き可否を判定するため</x:v>
      </x:c>
      <x:c r="M218" s="7" t="str">
        <x:v>Rulesはデータアクセスの入口で評価されます。</x:v>
      </x:c>
      <x:c r="N218" s="7" t="str">
        <x:v>Security RulesはFirestoreへの読み書きを許可するか判定します。認証状態、ユーザーID、保存データの形などを条件にできます。</x:v>
      </x:c>
      <x:c r="O218" s="7" t="str">
        <x:v>実装判断</x:v>
      </x:c>
      <x:c r="P218" s="12" t="str">
        <x:v>Firestore,rules,allow read</x:v>
      </x:c>
    </x:row>
    <x:row r="219" ht="74" customHeight="1">
      <x:c r="A219" s="11" t="str">
        <x:v>FSQ-218</x:v>
      </x:c>
      <x:c r="B219" s="7" t="str">
        <x:v>セキュリティルール</x:v>
      </x:c>
      <x:c r="C219" s="7" t="str">
        <x:v>中級</x:v>
      </x:c>
      <x:c r="D219" s="7" t="str">
        <x:v>4択</x:v>
      </x:c>
      <x:c r="E219" s="7" t="str">
        <x:v>Security Rulesの条件「allow write」は何を目的に使う？</x:v>
      </x:c>
      <x:c r="F219" s="7" t="str">
        <x:v>allow write</x:v>
      </x:c>
      <x:c r="G219" s="7" t="str">
        <x:v>CSSの色を変えるため</x:v>
      </x:c>
      <x:c r="H219" s="7" t="str">
        <x:v>Firestoreの読み書き可否を判定するため</x:v>
      </x:c>
      <x:c r="I219" s="7" t="str">
        <x:v>Excelの列幅を決めるため</x:v>
      </x:c>
      <x:c r="J219" s="7" t="str">
        <x:v>ブラウザの戻るボタンを止めるため</x:v>
      </x:c>
      <x:c r="K219" s="16" t="n">
        <x:v>2</x:v>
      </x:c>
      <x:c r="L219" s="7" t="str">
        <x:v>Firestoreの読み書き可否を判定するため</x:v>
      </x:c>
      <x:c r="M219" s="7" t="str">
        <x:v>Rulesはデータアクセスの入口で評価されます。</x:v>
      </x:c>
      <x:c r="N219" s="7" t="str">
        <x:v>Security RulesはFirestoreへの読み書きを許可するか判定します。認証状態、ユーザーID、保存データの形などを条件にできます。</x:v>
      </x:c>
      <x:c r="O219" s="7" t="str">
        <x:v>実装判断</x:v>
      </x:c>
      <x:c r="P219" s="12" t="str">
        <x:v>Firestore,rules,allow write</x:v>
      </x:c>
    </x:row>
    <x:row r="220" ht="74" customHeight="1">
      <x:c r="A220" s="11" t="str">
        <x:v>FSQ-219</x:v>
      </x:c>
      <x:c r="B220" s="7" t="str">
        <x:v>エラーハンドリング</x:v>
      </x:c>
      <x:c r="C220" s="7" t="str">
        <x:v>中級</x:v>
      </x:c>
      <x:c r="D220" s="7" t="str">
        <x:v>4択</x:v>
      </x:c>
      <x:c r="E220" s="7" t="str">
        <x:v>Firestoreエラーコード「permission-denied」が返った。実装で最も適切な対応は？</x:v>
      </x:c>
      <x:c r="F220" s="7" t="str"/>
      <x:c r="G220" s="7" t="str">
        <x:v>常に成功として扱う</x:v>
      </x:c>
      <x:c r="H220" s="7" t="str">
        <x:v>関係ないデータを削除する</x:v>
      </x:c>
      <x:c r="I220" s="7" t="str">
        <x:v>エラー内容に応じて表示、再試行、設定確認を分ける</x:v>
      </x:c>
      <x:c r="J220" s="7" t="str">
        <x:v>選択肢を全部正解にする</x:v>
      </x:c>
      <x:c r="K220" s="16" t="n">
        <x:v>3</x:v>
      </x:c>
      <x:c r="L220" s="7" t="str">
        <x:v>エラー内容に応じて表示、再試行、設定確認を分ける</x:v>
      </x:c>
      <x:c r="M220" s="7" t="str">
        <x:v>エラーコードごとに原因が違います。</x:v>
      </x:c>
      <x:c r="N220" s="7" t="str">
        <x:v>Firestoreのエラーは権限、存在しないデータ、インデックス不足、通信不安定など原因が分かれます。catchで受けて適切に扱います。</x:v>
      </x:c>
      <x:c r="O220" s="7" t="str">
        <x:v>全範囲</x:v>
      </x:c>
      <x:c r="P220" s="12" t="str">
        <x:v>Firestore,errorCode,permission-denied</x:v>
      </x:c>
    </x:row>
    <x:row r="221" ht="74" customHeight="1">
      <x:c r="A221" s="11" t="str">
        <x:v>FSQ-220</x:v>
      </x:c>
      <x:c r="B221" s="7" t="str">
        <x:v>エラーハンドリング</x:v>
      </x:c>
      <x:c r="C221" s="7" t="str">
        <x:v>応用</x:v>
      </x:c>
      <x:c r="D221" s="7" t="str">
        <x:v>4択</x:v>
      </x:c>
      <x:c r="E221" s="7" t="str">
        <x:v>Firestoreエラーコード「not-found」が返った。実装で最も適切な対応は？</x:v>
      </x:c>
      <x:c r="F221" s="7" t="str"/>
      <x:c r="G221" s="7" t="str">
        <x:v>常に成功として扱う</x:v>
      </x:c>
      <x:c r="H221" s="7" t="str">
        <x:v>関係ないデータを削除する</x:v>
      </x:c>
      <x:c r="I221" s="7" t="str">
        <x:v>選択肢を全部正解にする</x:v>
      </x:c>
      <x:c r="J221" s="7" t="str">
        <x:v>エラー内容に応じて表示、再試行、設定確認を分ける</x:v>
      </x:c>
      <x:c r="K221" s="16" t="n">
        <x:v>4</x:v>
      </x:c>
      <x:c r="L221" s="7" t="str">
        <x:v>エラー内容に応じて表示、再試行、設定確認を分ける</x:v>
      </x:c>
      <x:c r="M221" s="7" t="str">
        <x:v>エラーコードごとに原因が違います。</x:v>
      </x:c>
      <x:c r="N221" s="7" t="str">
        <x:v>Firestoreのエラーは権限、存在しないデータ、インデックス不足、通信不安定など原因が分かれます。catchで受けて適切に扱います。</x:v>
      </x:c>
      <x:c r="O221" s="7" t="str">
        <x:v>全範囲</x:v>
      </x:c>
      <x:c r="P221" s="12" t="str">
        <x:v>Firestore,errorCode,not-found</x:v>
      </x:c>
    </x:row>
    <x:row r="222" ht="74" customHeight="1">
      <x:c r="A222" s="11" t="str">
        <x:v>FSQ-221</x:v>
      </x:c>
      <x:c r="B222" s="7" t="str">
        <x:v>エラーハンドリング</x:v>
      </x:c>
      <x:c r="C222" s="7" t="str">
        <x:v>初級</x:v>
      </x:c>
      <x:c r="D222" s="7" t="str">
        <x:v>4択</x:v>
      </x:c>
      <x:c r="E222" s="7" t="str">
        <x:v>Firestoreエラーコード「already-exists」が返った。実装で最も適切な対応は？</x:v>
      </x:c>
      <x:c r="F222" s="7" t="str"/>
      <x:c r="G222" s="7" t="str">
        <x:v>エラー内容に応じて表示、再試行、設定確認を分ける</x:v>
      </x:c>
      <x:c r="H222" s="7" t="str">
        <x:v>常に成功として扱う</x:v>
      </x:c>
      <x:c r="I222" s="7" t="str">
        <x:v>関係ないデータを削除する</x:v>
      </x:c>
      <x:c r="J222" s="7" t="str">
        <x:v>選択肢を全部正解にする</x:v>
      </x:c>
      <x:c r="K222" s="16" t="n">
        <x:v>1</x:v>
      </x:c>
      <x:c r="L222" s="7" t="str">
        <x:v>エラー内容に応じて表示、再試行、設定確認を分ける</x:v>
      </x:c>
      <x:c r="M222" s="7" t="str">
        <x:v>エラーコードごとに原因が違います。</x:v>
      </x:c>
      <x:c r="N222" s="7" t="str">
        <x:v>Firestoreのエラーは権限、存在しないデータ、インデックス不足、通信不安定など原因が分かれます。catchで受けて適切に扱います。</x:v>
      </x:c>
      <x:c r="O222" s="7" t="str">
        <x:v>全範囲</x:v>
      </x:c>
      <x:c r="P222" s="12" t="str">
        <x:v>Firestore,errorCode,already-exists</x:v>
      </x:c>
    </x:row>
    <x:row r="223" ht="74" customHeight="1">
      <x:c r="A223" s="11" t="str">
        <x:v>FSQ-222</x:v>
      </x:c>
      <x:c r="B223" s="7" t="str">
        <x:v>エラーハンドリング</x:v>
      </x:c>
      <x:c r="C223" s="7" t="str">
        <x:v>初級</x:v>
      </x:c>
      <x:c r="D223" s="7" t="str">
        <x:v>4択</x:v>
      </x:c>
      <x:c r="E223" s="7" t="str">
        <x:v>Firestoreエラーコード「resource-exhausted」が返った。実装で最も適切な対応は？</x:v>
      </x:c>
      <x:c r="F223" s="7" t="str"/>
      <x:c r="G223" s="7" t="str">
        <x:v>常に成功として扱う</x:v>
      </x:c>
      <x:c r="H223" s="7" t="str">
        <x:v>エラー内容に応じて表示、再試行、設定確認を分ける</x:v>
      </x:c>
      <x:c r="I223" s="7" t="str">
        <x:v>関係ないデータを削除する</x:v>
      </x:c>
      <x:c r="J223" s="7" t="str">
        <x:v>選択肢を全部正解にする</x:v>
      </x:c>
      <x:c r="K223" s="16" t="n">
        <x:v>2</x:v>
      </x:c>
      <x:c r="L223" s="7" t="str">
        <x:v>エラー内容に応じて表示、再試行、設定確認を分ける</x:v>
      </x:c>
      <x:c r="M223" s="7" t="str">
        <x:v>エラーコードごとに原因が違います。</x:v>
      </x:c>
      <x:c r="N223" s="7" t="str">
        <x:v>Firestoreのエラーは権限、存在しないデータ、インデックス不足、通信不安定など原因が分かれます。catchで受けて適切に扱います。</x:v>
      </x:c>
      <x:c r="O223" s="7" t="str">
        <x:v>全範囲</x:v>
      </x:c>
      <x:c r="P223" s="12" t="str">
        <x:v>Firestore,errorCode,resource-exhausted</x:v>
      </x:c>
    </x:row>
    <x:row r="224" ht="74" customHeight="1">
      <x:c r="A224" s="11" t="str">
        <x:v>FSQ-223</x:v>
      </x:c>
      <x:c r="B224" s="7" t="str">
        <x:v>エラーハンドリング</x:v>
      </x:c>
      <x:c r="C224" s="7" t="str">
        <x:v>中級</x:v>
      </x:c>
      <x:c r="D224" s="7" t="str">
        <x:v>4択</x:v>
      </x:c>
      <x:c r="E224" s="7" t="str">
        <x:v>Firestoreエラーコード「failed-precondition」が返った。実装で最も適切な対応は？</x:v>
      </x:c>
      <x:c r="F224" s="7" t="str"/>
      <x:c r="G224" s="7" t="str">
        <x:v>常に成功として扱う</x:v>
      </x:c>
      <x:c r="H224" s="7" t="str">
        <x:v>関係ないデータを削除する</x:v>
      </x:c>
      <x:c r="I224" s="7" t="str">
        <x:v>エラー内容に応じて表示、再試行、設定確認を分ける</x:v>
      </x:c>
      <x:c r="J224" s="7" t="str">
        <x:v>選択肢を全部正解にする</x:v>
      </x:c>
      <x:c r="K224" s="16" t="n">
        <x:v>3</x:v>
      </x:c>
      <x:c r="L224" s="7" t="str">
        <x:v>エラー内容に応じて表示、再試行、設定確認を分ける</x:v>
      </x:c>
      <x:c r="M224" s="7" t="str">
        <x:v>エラーコードごとに原因が違います。</x:v>
      </x:c>
      <x:c r="N224" s="7" t="str">
        <x:v>Firestoreのエラーは権限、存在しないデータ、インデックス不足、通信不安定など原因が分かれます。catchで受けて適切に扱います。</x:v>
      </x:c>
      <x:c r="O224" s="7" t="str">
        <x:v>全範囲</x:v>
      </x:c>
      <x:c r="P224" s="12" t="str">
        <x:v>Firestore,errorCode,failed-precondition</x:v>
      </x:c>
    </x:row>
    <x:row r="225" ht="74" customHeight="1">
      <x:c r="A225" s="11" t="str">
        <x:v>FSQ-224</x:v>
      </x:c>
      <x:c r="B225" s="7" t="str">
        <x:v>エラーハンドリング</x:v>
      </x:c>
      <x:c r="C225" s="7" t="str">
        <x:v>中級</x:v>
      </x:c>
      <x:c r="D225" s="7" t="str">
        <x:v>4択</x:v>
      </x:c>
      <x:c r="E225" s="7" t="str">
        <x:v>Firestoreエラーコード「unavailable」が返った。実装で最も適切な対応は？</x:v>
      </x:c>
      <x:c r="F225" s="7" t="str"/>
      <x:c r="G225" s="7" t="str">
        <x:v>常に成功として扱う</x:v>
      </x:c>
      <x:c r="H225" s="7" t="str">
        <x:v>関係ないデータを削除する</x:v>
      </x:c>
      <x:c r="I225" s="7" t="str">
        <x:v>選択肢を全部正解にする</x:v>
      </x:c>
      <x:c r="J225" s="7" t="str">
        <x:v>エラー内容に応じて表示、再試行、設定確認を分ける</x:v>
      </x:c>
      <x:c r="K225" s="16" t="n">
        <x:v>4</x:v>
      </x:c>
      <x:c r="L225" s="7" t="str">
        <x:v>エラー内容に応じて表示、再試行、設定確認を分ける</x:v>
      </x:c>
      <x:c r="M225" s="7" t="str">
        <x:v>エラーコードごとに原因が違います。</x:v>
      </x:c>
      <x:c r="N225" s="7" t="str">
        <x:v>Firestoreのエラーは権限、存在しないデータ、インデックス不足、通信不安定など原因が分かれます。catchで受けて適切に扱います。</x:v>
      </x:c>
      <x:c r="O225" s="7" t="str">
        <x:v>全範囲</x:v>
      </x:c>
      <x:c r="P225" s="12" t="str">
        <x:v>Firestore,errorCode,unavailable</x:v>
      </x:c>
    </x:row>
    <x:row r="226" ht="74" customHeight="1">
      <x:c r="A226" s="11" t="str">
        <x:v>FSQ-225</x:v>
      </x:c>
      <x:c r="B226" s="7" t="str">
        <x:v>エラーハンドリング</x:v>
      </x:c>
      <x:c r="C226" s="7" t="str">
        <x:v>応用</x:v>
      </x:c>
      <x:c r="D226" s="7" t="str">
        <x:v>4択</x:v>
      </x:c>
      <x:c r="E226" s="7" t="str">
        <x:v>Firestoreエラーコード「deadline-exceeded」が返った。実装で最も適切な対応は？</x:v>
      </x:c>
      <x:c r="F226" s="7" t="str"/>
      <x:c r="G226" s="7" t="str">
        <x:v>エラー内容に応じて表示、再試行、設定確認を分ける</x:v>
      </x:c>
      <x:c r="H226" s="7" t="str">
        <x:v>常に成功として扱う</x:v>
      </x:c>
      <x:c r="I226" s="7" t="str">
        <x:v>関係ないデータを削除する</x:v>
      </x:c>
      <x:c r="J226" s="7" t="str">
        <x:v>選択肢を全部正解にする</x:v>
      </x:c>
      <x:c r="K226" s="16" t="n">
        <x:v>1</x:v>
      </x:c>
      <x:c r="L226" s="7" t="str">
        <x:v>エラー内容に応じて表示、再試行、設定確認を分ける</x:v>
      </x:c>
      <x:c r="M226" s="7" t="str">
        <x:v>エラーコードごとに原因が違います。</x:v>
      </x:c>
      <x:c r="N226" s="7" t="str">
        <x:v>Firestoreのエラーは権限、存在しないデータ、インデックス不足、通信不安定など原因が分かれます。catchで受けて適切に扱います。</x:v>
      </x:c>
      <x:c r="O226" s="7" t="str">
        <x:v>全範囲</x:v>
      </x:c>
      <x:c r="P226" s="12" t="str">
        <x:v>Firestore,errorCode,deadline-exceeded</x:v>
      </x:c>
    </x:row>
    <x:row r="227" ht="74" customHeight="1">
      <x:c r="A227" s="11" t="str">
        <x:v>FSQ-226</x:v>
      </x:c>
      <x:c r="B227" s="7" t="str">
        <x:v>エラーハンドリング</x:v>
      </x:c>
      <x:c r="C227" s="7" t="str">
        <x:v>初級</x:v>
      </x:c>
      <x:c r="D227" s="7" t="str">
        <x:v>4択</x:v>
      </x:c>
      <x:c r="E227" s="7" t="str">
        <x:v>Firestoreエラーコード「cancelled」が返った。実装で最も適切な対応は？</x:v>
      </x:c>
      <x:c r="F227" s="7" t="str"/>
      <x:c r="G227" s="7" t="str">
        <x:v>常に成功として扱う</x:v>
      </x:c>
      <x:c r="H227" s="7" t="str">
        <x:v>エラー内容に応じて表示、再試行、設定確認を分ける</x:v>
      </x:c>
      <x:c r="I227" s="7" t="str">
        <x:v>関係ないデータを削除する</x:v>
      </x:c>
      <x:c r="J227" s="7" t="str">
        <x:v>選択肢を全部正解にする</x:v>
      </x:c>
      <x:c r="K227" s="16" t="n">
        <x:v>2</x:v>
      </x:c>
      <x:c r="L227" s="7" t="str">
        <x:v>エラー内容に応じて表示、再試行、設定確認を分ける</x:v>
      </x:c>
      <x:c r="M227" s="7" t="str">
        <x:v>エラーコードごとに原因が違います。</x:v>
      </x:c>
      <x:c r="N227" s="7" t="str">
        <x:v>Firestoreのエラーは権限、存在しないデータ、インデックス不足、通信不安定など原因が分かれます。catchで受けて適切に扱います。</x:v>
      </x:c>
      <x:c r="O227" s="7" t="str">
        <x:v>全範囲</x:v>
      </x:c>
      <x:c r="P227" s="12" t="str">
        <x:v>Firestore,errorCode,cancelled</x:v>
      </x:c>
    </x:row>
    <x:row r="228" ht="74" customHeight="1">
      <x:c r="A228" s="11" t="str">
        <x:v>FSQ-227</x:v>
      </x:c>
      <x:c r="B228" s="7" t="str">
        <x:v>更新</x:v>
      </x:c>
      <x:c r="C228" s="7" t="str">
        <x:v>初級</x:v>
      </x:c>
      <x:c r="D228" s="7" t="str">
        <x:v>4択</x:v>
      </x:c>
      <x:c r="E228" s="7" t="str">
        <x:v>Firestoreの更新値「increment(1)」について正しい説明は？</x:v>
      </x:c>
      <x:c r="F228" s="7" t="str">
        <x:v>{ field: increment(1) }</x:v>
      </x:c>
      <x:c r="G228" s="7" t="str">
        <x:v>クエリの並び順を必ず降順にする</x:v>
      </x:c>
      <x:c r="H228" s="7" t="str">
        <x:v>Security Rulesを無効化する</x:v>
      </x:c>
      <x:c r="I228" s="7" t="str">
        <x:v>数値フィールドを1増やす</x:v>
      </x:c>
      <x:c r="J228" s="7" t="str">
        <x:v>全コレクションを削除する</x:v>
      </x:c>
      <x:c r="K228" s="16" t="n">
        <x:v>3</x:v>
      </x:c>
      <x:c r="L228" s="7" t="str">
        <x:v>数値フィールドを1増やす</x:v>
      </x:c>
      <x:c r="M228" s="7" t="str">
        <x:v>更新時に使える特殊な値があります。</x:v>
      </x:c>
      <x:c r="N228" s="7" t="str">
        <x:v>Firestoreには数値加算、配列操作、サーバー時刻、フィールド削除など、更新時に使える特殊な値があります。</x:v>
      </x:c>
      <x:c r="O228" s="7" t="str">
        <x:v>全範囲</x:v>
      </x:c>
      <x:c r="P228" s="12" t="str">
        <x:v>Firestore,fieldValue,increment(1)</x:v>
      </x:c>
    </x:row>
    <x:row r="229" ht="74" customHeight="1">
      <x:c r="A229" s="11" t="str">
        <x:v>FSQ-228</x:v>
      </x:c>
      <x:c r="B229" s="7" t="str">
        <x:v>更新</x:v>
      </x:c>
      <x:c r="C229" s="7" t="str">
        <x:v>中級</x:v>
      </x:c>
      <x:c r="D229" s="7" t="str">
        <x:v>4択</x:v>
      </x:c>
      <x:c r="E229" s="7" t="str">
        <x:v>Firestoreの更新値「increment(-1)」について正しい説明は？</x:v>
      </x:c>
      <x:c r="F229" s="7" t="str">
        <x:v>{ field: increment(-1) }</x:v>
      </x:c>
      <x:c r="G229" s="7" t="str">
        <x:v>クエリの並び順を必ず降順にする</x:v>
      </x:c>
      <x:c r="H229" s="7" t="str">
        <x:v>Security Rulesを無効化する</x:v>
      </x:c>
      <x:c r="I229" s="7" t="str">
        <x:v>全コレクションを削除する</x:v>
      </x:c>
      <x:c r="J229" s="7" t="str">
        <x:v>数値フィールドを1減らす</x:v>
      </x:c>
      <x:c r="K229" s="16" t="n">
        <x:v>4</x:v>
      </x:c>
      <x:c r="L229" s="7" t="str">
        <x:v>数値フィールドを1減らす</x:v>
      </x:c>
      <x:c r="M229" s="7" t="str">
        <x:v>更新時に使える特殊な値があります。</x:v>
      </x:c>
      <x:c r="N229" s="7" t="str">
        <x:v>Firestoreには数値加算、配列操作、サーバー時刻、フィールド削除など、更新時に使える特殊な値があります。</x:v>
      </x:c>
      <x:c r="O229" s="7" t="str">
        <x:v>全範囲</x:v>
      </x:c>
      <x:c r="P229" s="12" t="str">
        <x:v>Firestore,fieldValue,increment(-1)</x:v>
      </x:c>
    </x:row>
    <x:row r="230" ht="74" customHeight="1">
      <x:c r="A230" s="11" t="str">
        <x:v>FSQ-229</x:v>
      </x:c>
      <x:c r="B230" s="7" t="str">
        <x:v>更新</x:v>
      </x:c>
      <x:c r="C230" s="7" t="str">
        <x:v>中級</x:v>
      </x:c>
      <x:c r="D230" s="7" t="str">
        <x:v>4択</x:v>
      </x:c>
      <x:c r="E230" s="7" t="str">
        <x:v>Firestoreの更新値「arrayUnion(value)」について正しい説明は？</x:v>
      </x:c>
      <x:c r="F230" s="7" t="str">
        <x:v>{ field: arrayUnion(value) }</x:v>
      </x:c>
      <x:c r="G230" s="7" t="str">
        <x:v>配列に値を追加する</x:v>
      </x:c>
      <x:c r="H230" s="7" t="str">
        <x:v>クエリの並び順を必ず降順にする</x:v>
      </x:c>
      <x:c r="I230" s="7" t="str">
        <x:v>Security Rulesを無効化する</x:v>
      </x:c>
      <x:c r="J230" s="7" t="str">
        <x:v>全コレクションを削除する</x:v>
      </x:c>
      <x:c r="K230" s="16" t="n">
        <x:v>1</x:v>
      </x:c>
      <x:c r="L230" s="7" t="str">
        <x:v>配列に値を追加する</x:v>
      </x:c>
      <x:c r="M230" s="7" t="str">
        <x:v>更新時に使える特殊な値があります。</x:v>
      </x:c>
      <x:c r="N230" s="7" t="str">
        <x:v>Firestoreには数値加算、配列操作、サーバー時刻、フィールド削除など、更新時に使える特殊な値があります。</x:v>
      </x:c>
      <x:c r="O230" s="7" t="str">
        <x:v>全範囲</x:v>
      </x:c>
      <x:c r="P230" s="12" t="str">
        <x:v>Firestore,fieldValue,arrayUnion(value)</x:v>
      </x:c>
    </x:row>
    <x:row r="231" ht="74" customHeight="1">
      <x:c r="A231" s="11" t="str">
        <x:v>FSQ-230</x:v>
      </x:c>
      <x:c r="B231" s="7" t="str">
        <x:v>更新</x:v>
      </x:c>
      <x:c r="C231" s="7" t="str">
        <x:v>応用</x:v>
      </x:c>
      <x:c r="D231" s="7" t="str">
        <x:v>4択</x:v>
      </x:c>
      <x:c r="E231" s="7" t="str">
        <x:v>Firestoreの更新値「arrayRemove(value)」について正しい説明は？</x:v>
      </x:c>
      <x:c r="F231" s="7" t="str">
        <x:v>{ field: arrayRemove(value) }</x:v>
      </x:c>
      <x:c r="G231" s="7" t="str">
        <x:v>クエリの並び順を必ず降順にする</x:v>
      </x:c>
      <x:c r="H231" s="7" t="str">
        <x:v>配列から値を削除する</x:v>
      </x:c>
      <x:c r="I231" s="7" t="str">
        <x:v>Security Rulesを無効化する</x:v>
      </x:c>
      <x:c r="J231" s="7" t="str">
        <x:v>全コレクションを削除する</x:v>
      </x:c>
      <x:c r="K231" s="16" t="n">
        <x:v>2</x:v>
      </x:c>
      <x:c r="L231" s="7" t="str">
        <x:v>配列から値を削除する</x:v>
      </x:c>
      <x:c r="M231" s="7" t="str">
        <x:v>更新時に使える特殊な値があります。</x:v>
      </x:c>
      <x:c r="N231" s="7" t="str">
        <x:v>Firestoreには数値加算、配列操作、サーバー時刻、フィールド削除など、更新時に使える特殊な値があります。</x:v>
      </x:c>
      <x:c r="O231" s="7" t="str">
        <x:v>全範囲</x:v>
      </x:c>
      <x:c r="P231" s="12" t="str">
        <x:v>Firestore,fieldValue,arrayRemove(value)</x:v>
      </x:c>
    </x:row>
    <x:row r="232" ht="74" customHeight="1">
      <x:c r="A232" s="11" t="str">
        <x:v>FSQ-231</x:v>
      </x:c>
      <x:c r="B232" s="7" t="str">
        <x:v>更新</x:v>
      </x:c>
      <x:c r="C232" s="7" t="str">
        <x:v>初級</x:v>
      </x:c>
      <x:c r="D232" s="7" t="str">
        <x:v>4択</x:v>
      </x:c>
      <x:c r="E232" s="7" t="str">
        <x:v>Firestoreの更新値「serverTimestamp()」について正しい説明は？</x:v>
      </x:c>
      <x:c r="F232" s="7" t="str">
        <x:v>{ field: serverTimestamp() }</x:v>
      </x:c>
      <x:c r="G232" s="7" t="str">
        <x:v>クエリの並び順を必ず降順にする</x:v>
      </x:c>
      <x:c r="H232" s="7" t="str">
        <x:v>Security Rulesを無効化する</x:v>
      </x:c>
      <x:c r="I232" s="7" t="str">
        <x:v>サーバー時刻を保存する</x:v>
      </x:c>
      <x:c r="J232" s="7" t="str">
        <x:v>全コレクションを削除する</x:v>
      </x:c>
      <x:c r="K232" s="16" t="n">
        <x:v>3</x:v>
      </x:c>
      <x:c r="L232" s="7" t="str">
        <x:v>サーバー時刻を保存する</x:v>
      </x:c>
      <x:c r="M232" s="7" t="str">
        <x:v>更新時に使える特殊な値があります。</x:v>
      </x:c>
      <x:c r="N232" s="7" t="str">
        <x:v>Firestoreには数値加算、配列操作、サーバー時刻、フィールド削除など、更新時に使える特殊な値があります。</x:v>
      </x:c>
      <x:c r="O232" s="7" t="str">
        <x:v>全範囲</x:v>
      </x:c>
      <x:c r="P232" s="12" t="str">
        <x:v>Firestore,fieldValue,serverTimestamp()</x:v>
      </x:c>
    </x:row>
    <x:row r="233" ht="74" customHeight="1">
      <x:c r="A233" s="11" t="str">
        <x:v>FSQ-232</x:v>
      </x:c>
      <x:c r="B233" s="7" t="str">
        <x:v>更新</x:v>
      </x:c>
      <x:c r="C233" s="7" t="str">
        <x:v>初級</x:v>
      </x:c>
      <x:c r="D233" s="7" t="str">
        <x:v>4択</x:v>
      </x:c>
      <x:c r="E233" s="7" t="str">
        <x:v>Firestoreの更新値「deleteField()」について正しい説明は？</x:v>
      </x:c>
      <x:c r="F233" s="7" t="str">
        <x:v>{ field: deleteField() }</x:v>
      </x:c>
      <x:c r="G233" s="7" t="str">
        <x:v>クエリの並び順を必ず降順にする</x:v>
      </x:c>
      <x:c r="H233" s="7" t="str">
        <x:v>Security Rulesを無効化する</x:v>
      </x:c>
      <x:c r="I233" s="7" t="str">
        <x:v>全コレクションを削除する</x:v>
      </x:c>
      <x:c r="J233" s="7" t="str">
        <x:v>指定フィールドを削除する</x:v>
      </x:c>
      <x:c r="K233" s="16" t="n">
        <x:v>4</x:v>
      </x:c>
      <x:c r="L233" s="7" t="str">
        <x:v>指定フィールドを削除する</x:v>
      </x:c>
      <x:c r="M233" s="7" t="str">
        <x:v>更新時に使える特殊な値があります。</x:v>
      </x:c>
      <x:c r="N233" s="7" t="str">
        <x:v>Firestoreには数値加算、配列操作、サーバー時刻、フィールド削除など、更新時に使える特殊な値があります。</x:v>
      </x:c>
      <x:c r="O233" s="7" t="str">
        <x:v>全範囲</x:v>
      </x:c>
      <x:c r="P233" s="12" t="str">
        <x:v>Firestore,fieldValue,deleteField()</x:v>
      </x:c>
    </x:row>
    <x:row r="234" ht="74" customHeight="1">
      <x:c r="A234" s="11" t="str">
        <x:v>FSQ-233</x:v>
      </x:c>
      <x:c r="B234" s="7" t="str">
        <x:v>更新</x:v>
      </x:c>
      <x:c r="C234" s="7" t="str">
        <x:v>中級</x:v>
      </x:c>
      <x:c r="D234" s="7" t="str">
        <x:v>4択</x:v>
      </x:c>
      <x:c r="E234" s="7" t="str">
        <x:v>Firestoreの更新値「Timestamp.now()」について正しい説明は？</x:v>
      </x:c>
      <x:c r="F234" s="7" t="str">
        <x:v>{ field: Timestamp.now() }</x:v>
      </x:c>
      <x:c r="G234" s="7" t="str">
        <x:v>Timestamp値を作る</x:v>
      </x:c>
      <x:c r="H234" s="7" t="str">
        <x:v>クエリの並び順を必ず降順にする</x:v>
      </x:c>
      <x:c r="I234" s="7" t="str">
        <x:v>Security Rulesを無効化する</x:v>
      </x:c>
      <x:c r="J234" s="7" t="str">
        <x:v>全コレクションを削除する</x:v>
      </x:c>
      <x:c r="K234" s="16" t="n">
        <x:v>1</x:v>
      </x:c>
      <x:c r="L234" s="7" t="str">
        <x:v>Timestamp値を作る</x:v>
      </x:c>
      <x:c r="M234" s="7" t="str">
        <x:v>更新時に使える特殊な値があります。</x:v>
      </x:c>
      <x:c r="N234" s="7" t="str">
        <x:v>Firestoreには数値加算、配列操作、サーバー時刻、フィールド削除など、更新時に使える特殊な値があります。</x:v>
      </x:c>
      <x:c r="O234" s="7" t="str">
        <x:v>全範囲</x:v>
      </x:c>
      <x:c r="P234" s="12" t="str">
        <x:v>Firestore,fieldValue,Timestamp.now()</x:v>
      </x:c>
    </x:row>
    <x:row r="235" ht="74" customHeight="1">
      <x:c r="A235" s="11" t="str">
        <x:v>FSQ-234</x:v>
      </x:c>
      <x:c r="B235" s="7" t="str">
        <x:v>更新</x:v>
      </x:c>
      <x:c r="C235" s="7" t="str">
        <x:v>中級</x:v>
      </x:c>
      <x:c r="D235" s="7" t="str">
        <x:v>4択</x:v>
      </x:c>
      <x:c r="E235" s="7" t="str">
        <x:v>Firestoreの更新値「GeoPoint(lat,lng)」について正しい説明は？</x:v>
      </x:c>
      <x:c r="F235" s="7" t="str">
        <x:v>{ field: GeoPoint(lat,lng) }</x:v>
      </x:c>
      <x:c r="G235" s="7" t="str">
        <x:v>クエリの並び順を必ず降順にする</x:v>
      </x:c>
      <x:c r="H235" s="7" t="str">
        <x:v>緯度経度をGeoPointとして保存する</x:v>
      </x:c>
      <x:c r="I235" s="7" t="str">
        <x:v>Security Rulesを無効化する</x:v>
      </x:c>
      <x:c r="J235" s="7" t="str">
        <x:v>全コレクションを削除する</x:v>
      </x:c>
      <x:c r="K235" s="16" t="n">
        <x:v>2</x:v>
      </x:c>
      <x:c r="L235" s="7" t="str">
        <x:v>緯度経度をGeoPointとして保存する</x:v>
      </x:c>
      <x:c r="M235" s="7" t="str">
        <x:v>更新時に使える特殊な値があります。</x:v>
      </x:c>
      <x:c r="N235" s="7" t="str">
        <x:v>Firestoreには数値加算、配列操作、サーバー時刻、フィールド削除など、更新時に使える特殊な値があります。</x:v>
      </x:c>
      <x:c r="O235" s="7" t="str">
        <x:v>全範囲</x:v>
      </x:c>
      <x:c r="P235" s="12" t="str">
        <x:v>Firestore,fieldValue,GeoPoint(lat,lng)</x:v>
      </x:c>
    </x:row>
    <x:row r="236" ht="74" customHeight="1">
      <x:c r="A236" s="11" t="str">
        <x:v>FSQ-235</x:v>
      </x:c>
      <x:c r="B236" s="7" t="str">
        <x:v>データ設計</x:v>
      </x:c>
      <x:c r="C236" s="7" t="str">
        <x:v>応用</x:v>
      </x:c>
      <x:c r="D236" s="7" t="str">
        <x:v>4択</x:v>
      </x:c>
      <x:c r="E236" s="7" t="str">
        <x:v>注文IDをFirestoreのドキュメントIDとして使う場合に意識することは？</x:v>
      </x:c>
      <x:c r="F236" s="7" t="str"/>
      <x:c r="G236" s="7" t="str">
        <x:v>必ず日本語だけにする</x:v>
      </x:c>
      <x:c r="H236" s="7" t="str">
        <x:v>毎回空文字にする</x:v>
      </x:c>
      <x:c r="I236" s="7" t="str">
        <x:v>一意性、推測しやすさ、変更される可能性を考える</x:v>
      </x:c>
      <x:c r="J236" s="7" t="str">
        <x:v>CSSクラス名と同じにする</x:v>
      </x:c>
      <x:c r="K236" s="16" t="n">
        <x:v>3</x:v>
      </x:c>
      <x:c r="L236" s="7" t="str">
        <x:v>一意性、推測しやすさ、変更される可能性を考える</x:v>
      </x:c>
      <x:c r="M236" s="7" t="str">
        <x:v>IDはドキュメントの場所そのものになります。</x:v>
      </x:c>
      <x:c r="N236" s="7" t="str">
        <x:v>ドキュメントIDはパスに含まれるため、一意性や変更可能性、権限判定との相性を考えて設計します。</x:v>
      </x:c>
      <x:c r="O236" s="7" t="str">
        <x:v>全範囲</x:v>
      </x:c>
      <x:c r="P236" s="12" t="str">
        <x:v>Firestore,documentId,注文ID</x:v>
      </x:c>
    </x:row>
    <x:row r="237" ht="74" customHeight="1">
      <x:c r="A237" s="11" t="str">
        <x:v>FSQ-236</x:v>
      </x:c>
      <x:c r="B237" s="7" t="str">
        <x:v>データ設計</x:v>
      </x:c>
      <x:c r="C237" s="7" t="str">
        <x:v>初級</x:v>
      </x:c>
      <x:c r="D237" s="7" t="str">
        <x:v>4択</x:v>
      </x:c>
      <x:c r="E237" s="7" t="str">
        <x:v>ユーザーIDをFirestoreのドキュメントIDとして使う場合に意識することは？</x:v>
      </x:c>
      <x:c r="F237" s="7" t="str"/>
      <x:c r="G237" s="7" t="str">
        <x:v>必ず日本語だけにする</x:v>
      </x:c>
      <x:c r="H237" s="7" t="str">
        <x:v>毎回空文字にする</x:v>
      </x:c>
      <x:c r="I237" s="7" t="str">
        <x:v>CSSクラス名と同じにする</x:v>
      </x:c>
      <x:c r="J237" s="7" t="str">
        <x:v>一意性、推測しやすさ、変更される可能性を考える</x:v>
      </x:c>
      <x:c r="K237" s="16" t="n">
        <x:v>4</x:v>
      </x:c>
      <x:c r="L237" s="7" t="str">
        <x:v>一意性、推測しやすさ、変更される可能性を考える</x:v>
      </x:c>
      <x:c r="M237" s="7" t="str">
        <x:v>IDはドキュメントの場所そのものになります。</x:v>
      </x:c>
      <x:c r="N237" s="7" t="str">
        <x:v>ドキュメントIDはパスに含まれるため、一意性や変更可能性、権限判定との相性を考えて設計します。</x:v>
      </x:c>
      <x:c r="O237" s="7" t="str">
        <x:v>全範囲</x:v>
      </x:c>
      <x:c r="P237" s="12" t="str">
        <x:v>Firestore,documentId,ユーザーID</x:v>
      </x:c>
    </x:row>
    <x:row r="238" ht="74" customHeight="1">
      <x:c r="A238" s="11" t="str">
        <x:v>FSQ-237</x:v>
      </x:c>
      <x:c r="B238" s="7" t="str">
        <x:v>データ設計</x:v>
      </x:c>
      <x:c r="C238" s="7" t="str">
        <x:v>初級</x:v>
      </x:c>
      <x:c r="D238" s="7" t="str">
        <x:v>4択</x:v>
      </x:c>
      <x:c r="E238" s="7" t="str">
        <x:v>商品IDをFirestoreのドキュメントIDとして使う場合に意識することは？</x:v>
      </x:c>
      <x:c r="F238" s="7" t="str"/>
      <x:c r="G238" s="7" t="str">
        <x:v>一意性、推測しやすさ、変更される可能性を考える</x:v>
      </x:c>
      <x:c r="H238" s="7" t="str">
        <x:v>必ず日本語だけにする</x:v>
      </x:c>
      <x:c r="I238" s="7" t="str">
        <x:v>毎回空文字にする</x:v>
      </x:c>
      <x:c r="J238" s="7" t="str">
        <x:v>CSSクラス名と同じにする</x:v>
      </x:c>
      <x:c r="K238" s="16" t="n">
        <x:v>1</x:v>
      </x:c>
      <x:c r="L238" s="7" t="str">
        <x:v>一意性、推測しやすさ、変更される可能性を考える</x:v>
      </x:c>
      <x:c r="M238" s="7" t="str">
        <x:v>IDはドキュメントの場所そのものになります。</x:v>
      </x:c>
      <x:c r="N238" s="7" t="str">
        <x:v>ドキュメントIDはパスに含まれるため、一意性や変更可能性、権限判定との相性を考えて設計します。</x:v>
      </x:c>
      <x:c r="O238" s="7" t="str">
        <x:v>全範囲</x:v>
      </x:c>
      <x:c r="P238" s="12" t="str">
        <x:v>Firestore,documentId,商品ID</x:v>
      </x:c>
    </x:row>
    <x:row r="239" ht="74" customHeight="1">
      <x:c r="A239" s="11" t="str">
        <x:v>FSQ-238</x:v>
      </x:c>
      <x:c r="B239" s="7" t="str">
        <x:v>データ設計</x:v>
      </x:c>
      <x:c r="C239" s="7" t="str">
        <x:v>中級</x:v>
      </x:c>
      <x:c r="D239" s="7" t="str">
        <x:v>4択</x:v>
      </x:c>
      <x:c r="E239" s="7" t="str">
        <x:v>問題IDをFirestoreのドキュメントIDとして使う場合に意識することは？</x:v>
      </x:c>
      <x:c r="F239" s="7" t="str"/>
      <x:c r="G239" s="7" t="str">
        <x:v>必ず日本語だけにする</x:v>
      </x:c>
      <x:c r="H239" s="7" t="str">
        <x:v>一意性、推測しやすさ、変更される可能性を考える</x:v>
      </x:c>
      <x:c r="I239" s="7" t="str">
        <x:v>毎回空文字にする</x:v>
      </x:c>
      <x:c r="J239" s="7" t="str">
        <x:v>CSSクラス名と同じにする</x:v>
      </x:c>
      <x:c r="K239" s="16" t="n">
        <x:v>2</x:v>
      </x:c>
      <x:c r="L239" s="7" t="str">
        <x:v>一意性、推測しやすさ、変更される可能性を考える</x:v>
      </x:c>
      <x:c r="M239" s="7" t="str">
        <x:v>IDはドキュメントの場所そのものになります。</x:v>
      </x:c>
      <x:c r="N239" s="7" t="str">
        <x:v>ドキュメントIDはパスに含まれるため、一意性や変更可能性、権限判定との相性を考えて設計します。</x:v>
      </x:c>
      <x:c r="O239" s="7" t="str">
        <x:v>全範囲</x:v>
      </x:c>
      <x:c r="P239" s="12" t="str">
        <x:v>Firestore,documentId,問題ID</x:v>
      </x:c>
    </x:row>
    <x:row r="240" ht="74" customHeight="1">
      <x:c r="A240" s="11" t="str">
        <x:v>FSQ-239</x:v>
      </x:c>
      <x:c r="B240" s="7" t="str">
        <x:v>データ設計</x:v>
      </x:c>
      <x:c r="C240" s="7" t="str">
        <x:v>中級</x:v>
      </x:c>
      <x:c r="D240" s="7" t="str">
        <x:v>4択</x:v>
      </x:c>
      <x:c r="E240" s="7" t="str">
        <x:v>回答IDをFirestoreのドキュメントIDとして使う場合に意識することは？</x:v>
      </x:c>
      <x:c r="F240" s="7" t="str"/>
      <x:c r="G240" s="7" t="str">
        <x:v>必ず日本語だけにする</x:v>
      </x:c>
      <x:c r="H240" s="7" t="str">
        <x:v>毎回空文字にする</x:v>
      </x:c>
      <x:c r="I240" s="7" t="str">
        <x:v>一意性、推測しやすさ、変更される可能性を考える</x:v>
      </x:c>
      <x:c r="J240" s="7" t="str">
        <x:v>CSSクラス名と同じにする</x:v>
      </x:c>
      <x:c r="K240" s="16" t="n">
        <x:v>3</x:v>
      </x:c>
      <x:c r="L240" s="7" t="str">
        <x:v>一意性、推測しやすさ、変更される可能性を考える</x:v>
      </x:c>
      <x:c r="M240" s="7" t="str">
        <x:v>IDはドキュメントの場所そのものになります。</x:v>
      </x:c>
      <x:c r="N240" s="7" t="str">
        <x:v>ドキュメントIDはパスに含まれるため、一意性や変更可能性、権限判定との相性を考えて設計します。</x:v>
      </x:c>
      <x:c r="O240" s="7" t="str">
        <x:v>全範囲</x:v>
      </x:c>
      <x:c r="P240" s="12" t="str">
        <x:v>Firestore,documentId,回答ID</x:v>
      </x:c>
    </x:row>
    <x:row r="241" ht="74" customHeight="1">
      <x:c r="A241" s="13" t="str">
        <x:v>FSQ-240</x:v>
      </x:c>
      <x:c r="B241" s="14" t="str">
        <x:v>データ設計</x:v>
      </x:c>
      <x:c r="C241" s="14" t="str">
        <x:v>応用</x:v>
      </x:c>
      <x:c r="D241" s="14" t="str">
        <x:v>4択</x:v>
      </x:c>
      <x:c r="E241" s="14" t="str">
        <x:v>店舗IDをFirestoreのドキュメントIDとして使う場合に意識することは？</x:v>
      </x:c>
      <x:c r="F241" s="14" t="str"/>
      <x:c r="G241" s="14" t="str">
        <x:v>必ず日本語だけにする</x:v>
      </x:c>
      <x:c r="H241" s="14" t="str">
        <x:v>毎回空文字にする</x:v>
      </x:c>
      <x:c r="I241" s="14" t="str">
        <x:v>CSSクラス名と同じにする</x:v>
      </x:c>
      <x:c r="J241" s="14" t="str">
        <x:v>一意性、推測しやすさ、変更される可能性を考える</x:v>
      </x:c>
      <x:c r="K241" s="17" t="n">
        <x:v>4</x:v>
      </x:c>
      <x:c r="L241" s="14" t="str">
        <x:v>一意性、推測しやすさ、変更される可能性を考える</x:v>
      </x:c>
      <x:c r="M241" s="14" t="str">
        <x:v>IDはドキュメントの場所そのものになります。</x:v>
      </x:c>
      <x:c r="N241" s="14" t="str">
        <x:v>ドキュメントIDはパスに含まれるため、一意性や変更可能性、権限判定との相性を考えて設計します。</x:v>
      </x:c>
      <x:c r="O241" s="14" t="str">
        <x:v>全範囲</x:v>
      </x:c>
      <x:c r="P241" s="15" t="str">
        <x:v>Firestore,documentId,店舗ID</x:v>
      </x:c>
    </x:row>
  </x:sheetData>
  <x:dataValidations count="3">
    <x:dataValidation type="list" sqref="B2:B241">
      <x:formula1>"基本操作,参照,クエリ,追加,更新,削除,リアルタイム監視,タイムスタンプ,データ設計,配列操作,サブコレクション,トランザクション,バッチ書き込み,セキュリティルール,インデックス,パフォーマンス,エラーハンドリング,オフライン対応"</x:formula1>
    </x:dataValidation>
    <x:dataValidation type="list" sqref="C2:C241">
      <x:formula1>"初級,中級,応用"</x:formula1>
    </x:dataValidation>
    <x:dataValidation type="whole" operator="between" sqref="K2:K241">
      <x:formula1>1</x:formula1>
      <x:formula2>4</x:formula2>
    </x:dataValidation>
  </x:dataValidations>
  <x:pageMargins left="0.7" right="0.7" top="0.75" bottom="0.75" header="0.3" footer="0.3"/>
  <x:tableParts count="1">
    <x:tablePart xmlns:r="http://schemas.openxmlformats.org/officeDocument/2006/relationships" r:id="Ra6128aff7fd2430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s>
  <x:sheetData>
    <x:row r="1">
      <x:c r="A1" s="21" t="str">
        <x:v>カテゴリ</x:v>
      </x:c>
      <x:c r="B1" s="22" t="str">
        <x:v>問題数</x:v>
      </x:c>
      <x:c r="C1" s="22" t="str">
        <x:v>初級</x:v>
      </x:c>
      <x:c r="D1" s="22" t="str">
        <x:v>中級</x:v>
      </x:c>
      <x:c r="E1" s="23" t="str">
        <x:v>応用</x:v>
      </x:c>
    </x:row>
    <x:row r="2">
      <x:c r="A2" s="24" t="str">
        <x:v>基本操作</x:v>
      </x:c>
      <x:c r="B2" s="30" t="n">
        <x:f>COUNTIF('問題マスタ'!$B$2:$B$241,"基本操作")</x:f>
        <x:v>10</x:v>
      </x:c>
      <x:c r="C2" s="30" t="n">
        <x:f>COUNTIFS('問題マスタ'!$B$2:$B$241,"基本操作",'問題マスタ'!$C$2:$C$241,"初級")</x:f>
        <x:v>4</x:v>
      </x:c>
      <x:c r="D2" s="30" t="n">
        <x:f>COUNTIFS('問題マスタ'!$B$2:$B$241,"基本操作",'問題マスタ'!$C$2:$C$241,"中級")</x:f>
        <x:v>4</x:v>
      </x:c>
      <x:c r="E2" s="31" t="n">
        <x:f>COUNTIFS('問題マスタ'!$B$2:$B$241,"基本操作",'問題マスタ'!$C$2:$C$241,"応用")</x:f>
        <x:v>2</x:v>
      </x:c>
    </x:row>
    <x:row r="3">
      <x:c r="A3" s="24" t="str">
        <x:v>参照</x:v>
      </x:c>
      <x:c r="B3" s="30" t="n">
        <x:f>COUNTIF('問題マスタ'!$B$2:$B$241,"参照")</x:f>
        <x:v>8</x:v>
      </x:c>
      <x:c r="C3" s="30" t="n">
        <x:f>COUNTIFS('問題マスタ'!$B$2:$B$241,"参照",'問題マスタ'!$C$2:$C$241,"初級")</x:f>
        <x:v>4</x:v>
      </x:c>
      <x:c r="D3" s="30" t="n">
        <x:f>COUNTIFS('問題マスタ'!$B$2:$B$241,"参照",'問題マスタ'!$C$2:$C$241,"中級")</x:f>
        <x:v>3</x:v>
      </x:c>
      <x:c r="E3" s="31" t="n">
        <x:f>COUNTIFS('問題マスタ'!$B$2:$B$241,"参照",'問題マスタ'!$C$2:$C$241,"応用")</x:f>
        <x:v>1</x:v>
      </x:c>
    </x:row>
    <x:row r="4">
      <x:c r="A4" s="24" t="str">
        <x:v>クエリ</x:v>
      </x:c>
      <x:c r="B4" s="30" t="n">
        <x:f>COUNTIF('問題マスタ'!$B$2:$B$241,"クエリ")</x:f>
        <x:v>36</x:v>
      </x:c>
      <x:c r="C4" s="30" t="n">
        <x:f>COUNTIFS('問題マスタ'!$B$2:$B$241,"クエリ",'問題マスタ'!$C$2:$C$241,"初級")</x:f>
        <x:v>13</x:v>
      </x:c>
      <x:c r="D4" s="30" t="n">
        <x:f>COUNTIFS('問題マスタ'!$B$2:$B$241,"クエリ",'問題マスタ'!$C$2:$C$241,"中級")</x:f>
        <x:v>15</x:v>
      </x:c>
      <x:c r="E4" s="31" t="n">
        <x:f>COUNTIFS('問題マスタ'!$B$2:$B$241,"クエリ",'問題マスタ'!$C$2:$C$241,"応用")</x:f>
        <x:v>8</x:v>
      </x:c>
    </x:row>
    <x:row r="5">
      <x:c r="A5" s="24" t="str">
        <x:v>追加</x:v>
      </x:c>
      <x:c r="B5" s="30" t="n">
        <x:f>COUNTIF('問題マスタ'!$B$2:$B$241,"追加")</x:f>
        <x:v>8</x:v>
      </x:c>
      <x:c r="C5" s="30" t="n">
        <x:f>COUNTIFS('問題マスタ'!$B$2:$B$241,"追加",'問題マスタ'!$C$2:$C$241,"初級")</x:f>
        <x:v>3</x:v>
      </x:c>
      <x:c r="D5" s="30" t="n">
        <x:f>COUNTIFS('問題マスタ'!$B$2:$B$241,"追加",'問題マスタ'!$C$2:$C$241,"中級")</x:f>
        <x:v>3</x:v>
      </x:c>
      <x:c r="E5" s="31" t="n">
        <x:f>COUNTIFS('問題マスタ'!$B$2:$B$241,"追加",'問題マスタ'!$C$2:$C$241,"応用")</x:f>
        <x:v>2</x:v>
      </x:c>
    </x:row>
    <x:row r="6">
      <x:c r="A6" s="24" t="str">
        <x:v>更新</x:v>
      </x:c>
      <x:c r="B6" s="30" t="n">
        <x:f>COUNTIF('問題マスタ'!$B$2:$B$241,"更新")</x:f>
        <x:v>18</x:v>
      </x:c>
      <x:c r="C6" s="30" t="n">
        <x:f>COUNTIFS('問題マスタ'!$B$2:$B$241,"更新",'問題マスタ'!$C$2:$C$241,"初級")</x:f>
        <x:v>7</x:v>
      </x:c>
      <x:c r="D6" s="30" t="n">
        <x:f>COUNTIFS('問題マスタ'!$B$2:$B$241,"更新",'問題マスタ'!$C$2:$C$241,"中級")</x:f>
        <x:v>8</x:v>
      </x:c>
      <x:c r="E6" s="31" t="n">
        <x:f>COUNTIFS('問題マスタ'!$B$2:$B$241,"更新",'問題マスタ'!$C$2:$C$241,"応用")</x:f>
        <x:v>3</x:v>
      </x:c>
    </x:row>
    <x:row r="7">
      <x:c r="A7" s="24" t="str">
        <x:v>削除</x:v>
      </x:c>
      <x:c r="B7" s="30" t="n">
        <x:f>COUNTIF('問題マスタ'!$B$2:$B$241,"削除")</x:f>
        <x:v>8</x:v>
      </x:c>
      <x:c r="C7" s="30" t="n">
        <x:f>COUNTIFS('問題マスタ'!$B$2:$B$241,"削除",'問題マスタ'!$C$2:$C$241,"初級")</x:f>
        <x:v>2</x:v>
      </x:c>
      <x:c r="D7" s="30" t="n">
        <x:f>COUNTIFS('問題マスタ'!$B$2:$B$241,"削除",'問題マスタ'!$C$2:$C$241,"中級")</x:f>
        <x:v>4</x:v>
      </x:c>
      <x:c r="E7" s="31" t="n">
        <x:f>COUNTIFS('問題マスタ'!$B$2:$B$241,"削除",'問題マスタ'!$C$2:$C$241,"応用")</x:f>
        <x:v>2</x:v>
      </x:c>
    </x:row>
    <x:row r="8">
      <x:c r="A8" s="24" t="str">
        <x:v>リアルタイム監視</x:v>
      </x:c>
      <x:c r="B8" s="30" t="n">
        <x:f>COUNTIF('問題マスタ'!$B$2:$B$241,"リアルタイム監視")</x:f>
        <x:v>8</x:v>
      </x:c>
      <x:c r="C8" s="30" t="n">
        <x:f>COUNTIFS('問題マスタ'!$B$2:$B$241,"リアルタイム監視",'問題マスタ'!$C$2:$C$241,"初級")</x:f>
        <x:v>2</x:v>
      </x:c>
      <x:c r="D8" s="30" t="n">
        <x:f>COUNTIFS('問題マスタ'!$B$2:$B$241,"リアルタイム監視",'問題マスタ'!$C$2:$C$241,"中級")</x:f>
        <x:v>4</x:v>
      </x:c>
      <x:c r="E8" s="31" t="n">
        <x:f>COUNTIFS('問題マスタ'!$B$2:$B$241,"リアルタイム監視",'問題マスタ'!$C$2:$C$241,"応用")</x:f>
        <x:v>2</x:v>
      </x:c>
    </x:row>
    <x:row r="9">
      <x:c r="A9" s="24" t="str">
        <x:v>タイムスタンプ</x:v>
      </x:c>
      <x:c r="B9" s="30" t="n">
        <x:f>COUNTIF('問題マスタ'!$B$2:$B$241,"タイムスタンプ")</x:f>
        <x:v>8</x:v>
      </x:c>
      <x:c r="C9" s="30" t="n">
        <x:f>COUNTIFS('問題マスタ'!$B$2:$B$241,"タイムスタンプ",'問題マスタ'!$C$2:$C$241,"初級")</x:f>
        <x:v>4</x:v>
      </x:c>
      <x:c r="D9" s="30" t="n">
        <x:f>COUNTIFS('問題マスタ'!$B$2:$B$241,"タイムスタンプ",'問題マスタ'!$C$2:$C$241,"中級")</x:f>
        <x:v>2</x:v>
      </x:c>
      <x:c r="E9" s="31" t="n">
        <x:f>COUNTIFS('問題マスタ'!$B$2:$B$241,"タイムスタンプ",'問題マスタ'!$C$2:$C$241,"応用")</x:f>
        <x:v>2</x:v>
      </x:c>
    </x:row>
    <x:row r="10">
      <x:c r="A10" s="24" t="str">
        <x:v>データ設計</x:v>
      </x:c>
      <x:c r="B10" s="30" t="n">
        <x:f>COUNTIF('問題マスタ'!$B$2:$B$241,"データ設計")</x:f>
        <x:v>22</x:v>
      </x:c>
      <x:c r="C10" s="30" t="n">
        <x:f>COUNTIFS('問題マスタ'!$B$2:$B$241,"データ設計",'問題マスタ'!$C$2:$C$241,"初級")</x:f>
        <x:v>8</x:v>
      </x:c>
      <x:c r="D10" s="30" t="n">
        <x:f>COUNTIFS('問題マスタ'!$B$2:$B$241,"データ設計",'問題マスタ'!$C$2:$C$241,"中級")</x:f>
        <x:v>10</x:v>
      </x:c>
      <x:c r="E10" s="31" t="n">
        <x:f>COUNTIFS('問題マスタ'!$B$2:$B$241,"データ設計",'問題マスタ'!$C$2:$C$241,"応用")</x:f>
        <x:v>4</x:v>
      </x:c>
    </x:row>
    <x:row r="11">
      <x:c r="A11" s="24" t="str">
        <x:v>配列操作</x:v>
      </x:c>
      <x:c r="B11" s="30" t="n">
        <x:f>COUNTIF('問題マスタ'!$B$2:$B$241,"配列操作")</x:f>
        <x:v>16</x:v>
      </x:c>
      <x:c r="C11" s="30" t="n">
        <x:f>COUNTIFS('問題マスタ'!$B$2:$B$241,"配列操作",'問題マスタ'!$C$2:$C$241,"初級")</x:f>
        <x:v>7</x:v>
      </x:c>
      <x:c r="D11" s="30" t="n">
        <x:f>COUNTIFS('問題マスタ'!$B$2:$B$241,"配列操作",'問題マスタ'!$C$2:$C$241,"中級")</x:f>
        <x:v>6</x:v>
      </x:c>
      <x:c r="E11" s="31" t="n">
        <x:f>COUNTIFS('問題マスタ'!$B$2:$B$241,"配列操作",'問題マスタ'!$C$2:$C$241,"応用")</x:f>
        <x:v>3</x:v>
      </x:c>
    </x:row>
    <x:row r="12">
      <x:c r="A12" s="24" t="str">
        <x:v>サブコレクション</x:v>
      </x:c>
      <x:c r="B12" s="30" t="n">
        <x:f>COUNTIF('問題マスタ'!$B$2:$B$241,"サブコレクション")</x:f>
        <x:v>16</x:v>
      </x:c>
      <x:c r="C12" s="30" t="n">
        <x:f>COUNTIFS('問題マスタ'!$B$2:$B$241,"サブコレクション",'問題マスタ'!$C$2:$C$241,"初級")</x:f>
        <x:v>7</x:v>
      </x:c>
      <x:c r="D12" s="30" t="n">
        <x:f>COUNTIFS('問題マスタ'!$B$2:$B$241,"サブコレクション",'問題マスタ'!$C$2:$C$241,"中級")</x:f>
        <x:v>6</x:v>
      </x:c>
      <x:c r="E12" s="31" t="n">
        <x:f>COUNTIFS('問題マスタ'!$B$2:$B$241,"サブコレクション",'問題マスタ'!$C$2:$C$241,"応用")</x:f>
        <x:v>3</x:v>
      </x:c>
    </x:row>
    <x:row r="13">
      <x:c r="A13" s="24" t="str">
        <x:v>トランザクション</x:v>
      </x:c>
      <x:c r="B13" s="30" t="n">
        <x:f>COUNTIF('問題マスタ'!$B$2:$B$241,"トランザクション")</x:f>
        <x:v>8</x:v>
      </x:c>
      <x:c r="C13" s="30" t="n">
        <x:f>COUNTIFS('問題マスタ'!$B$2:$B$241,"トランザクション",'問題マスタ'!$C$2:$C$241,"初級")</x:f>
        <x:v>4</x:v>
      </x:c>
      <x:c r="D13" s="30" t="n">
        <x:f>COUNTIFS('問題マスタ'!$B$2:$B$241,"トランザクション",'問題マスタ'!$C$2:$C$241,"中級")</x:f>
        <x:v>2</x:v>
      </x:c>
      <x:c r="E13" s="31" t="n">
        <x:f>COUNTIFS('問題マスタ'!$B$2:$B$241,"トランザクション",'問題マスタ'!$C$2:$C$241,"応用")</x:f>
        <x:v>2</x:v>
      </x:c>
    </x:row>
    <x:row r="14">
      <x:c r="A14" s="24" t="str">
        <x:v>バッチ書き込み</x:v>
      </x:c>
      <x:c r="B14" s="30" t="n">
        <x:f>COUNTIF('問題マスタ'!$B$2:$B$241,"バッチ書き込み")</x:f>
        <x:v>8</x:v>
      </x:c>
      <x:c r="C14" s="30" t="n">
        <x:f>COUNTIFS('問題マスタ'!$B$2:$B$241,"バッチ書き込み",'問題マスタ'!$C$2:$C$241,"初級")</x:f>
        <x:v>2</x:v>
      </x:c>
      <x:c r="D14" s="30" t="n">
        <x:f>COUNTIFS('問題マスタ'!$B$2:$B$241,"バッチ書き込み",'問題マスタ'!$C$2:$C$241,"中級")</x:f>
        <x:v>4</x:v>
      </x:c>
      <x:c r="E14" s="31" t="n">
        <x:f>COUNTIFS('問題マスタ'!$B$2:$B$241,"バッチ書き込み",'問題マスタ'!$C$2:$C$241,"応用")</x:f>
        <x:v>2</x:v>
      </x:c>
    </x:row>
    <x:row r="15">
      <x:c r="A15" s="24" t="str">
        <x:v>セキュリティルール</x:v>
      </x:c>
      <x:c r="B15" s="30" t="n">
        <x:f>COUNTIF('問題マスタ'!$B$2:$B$241,"セキュリティルール")</x:f>
        <x:v>16</x:v>
      </x:c>
      <x:c r="C15" s="30" t="n">
        <x:f>COUNTIFS('問題マスタ'!$B$2:$B$241,"セキュリティルール",'問題マスタ'!$C$2:$C$241,"初級")</x:f>
        <x:v>8</x:v>
      </x:c>
      <x:c r="D15" s="30" t="n">
        <x:f>COUNTIFS('問題マスタ'!$B$2:$B$241,"セキュリティルール",'問題マスタ'!$C$2:$C$241,"中級")</x:f>
        <x:v>6</x:v>
      </x:c>
      <x:c r="E15" s="31" t="n">
        <x:f>COUNTIFS('問題マスタ'!$B$2:$B$241,"セキュリティルール",'問題マスタ'!$C$2:$C$241,"応用")</x:f>
        <x:v>2</x:v>
      </x:c>
    </x:row>
    <x:row r="16">
      <x:c r="A16" s="24" t="str">
        <x:v>インデックス</x:v>
      </x:c>
      <x:c r="B16" s="30" t="n">
        <x:f>COUNTIF('問題マスタ'!$B$2:$B$241,"インデックス")</x:f>
        <x:v>10</x:v>
      </x:c>
      <x:c r="C16" s="30" t="n">
        <x:f>COUNTIFS('問題マスタ'!$B$2:$B$241,"インデックス",'問題マスタ'!$C$2:$C$241,"初級")</x:f>
        <x:v>4</x:v>
      </x:c>
      <x:c r="D16" s="30" t="n">
        <x:f>COUNTIFS('問題マスタ'!$B$2:$B$241,"インデックス",'問題マスタ'!$C$2:$C$241,"中級")</x:f>
        <x:v>4</x:v>
      </x:c>
      <x:c r="E16" s="31" t="n">
        <x:f>COUNTIFS('問題マスタ'!$B$2:$B$241,"インデックス",'問題マスタ'!$C$2:$C$241,"応用")</x:f>
        <x:v>2</x:v>
      </x:c>
    </x:row>
    <x:row r="17">
      <x:c r="A17" s="24" t="str">
        <x:v>パフォーマンス</x:v>
      </x:c>
      <x:c r="B17" s="30" t="n">
        <x:f>COUNTIF('問題マスタ'!$B$2:$B$241,"パフォーマンス")</x:f>
        <x:v>16</x:v>
      </x:c>
      <x:c r="C17" s="30" t="n">
        <x:f>COUNTIFS('問題マスタ'!$B$2:$B$241,"パフォーマンス",'問題マスタ'!$C$2:$C$241,"初級")</x:f>
        <x:v>7</x:v>
      </x:c>
      <x:c r="D17" s="30" t="n">
        <x:f>COUNTIFS('問題マスタ'!$B$2:$B$241,"パフォーマンス",'問題マスタ'!$C$2:$C$241,"中級")</x:f>
        <x:v>6</x:v>
      </x:c>
      <x:c r="E17" s="31" t="n">
        <x:f>COUNTIFS('問題マスタ'!$B$2:$B$241,"パフォーマンス",'問題マスタ'!$C$2:$C$241,"応用")</x:f>
        <x:v>3</x:v>
      </x:c>
    </x:row>
    <x:row r="18">
      <x:c r="A18" s="24" t="str">
        <x:v>エラーハンドリング</x:v>
      </x:c>
      <x:c r="B18" s="30" t="n">
        <x:f>COUNTIF('問題マスタ'!$B$2:$B$241,"エラーハンドリング")</x:f>
        <x:v>16</x:v>
      </x:c>
      <x:c r="C18" s="30" t="n">
        <x:f>COUNTIFS('問題マスタ'!$B$2:$B$241,"エラーハンドリング",'問題マスタ'!$C$2:$C$241,"初級")</x:f>
        <x:v>6</x:v>
      </x:c>
      <x:c r="D18" s="30" t="n">
        <x:f>COUNTIFS('問題マスタ'!$B$2:$B$241,"エラーハンドリング",'問題マスタ'!$C$2:$C$241,"中級")</x:f>
        <x:v>7</x:v>
      </x:c>
      <x:c r="E18" s="31" t="n">
        <x:f>COUNTIFS('問題マスタ'!$B$2:$B$241,"エラーハンドリング",'問題マスタ'!$C$2:$C$241,"応用")</x:f>
        <x:v>3</x:v>
      </x:c>
    </x:row>
    <x:row r="19">
      <x:c r="A19" s="27" t="str">
        <x:v>オフライン対応</x:v>
      </x:c>
      <x:c r="B19" s="32" t="n">
        <x:f>COUNTIF('問題マスタ'!$B$2:$B$241,"オフライン対応")</x:f>
        <x:v>8</x:v>
      </x:c>
      <x:c r="C19" s="32" t="n">
        <x:f>COUNTIFS('問題マスタ'!$B$2:$B$241,"オフライン対応",'問題マスタ'!$C$2:$C$241,"初級")</x:f>
        <x:v>4</x:v>
      </x:c>
      <x:c r="D19" s="32" t="n">
        <x:f>COUNTIFS('問題マスタ'!$B$2:$B$241,"オフライン対応",'問題マスタ'!$C$2:$C$241,"中級")</x:f>
        <x:v>2</x:v>
      </x:c>
      <x:c r="E19" s="33" t="n">
        <x:f>COUNTIFS('問題マスタ'!$B$2:$B$241,"オフライン対応",'問題マスタ'!$C$2:$C$241,"応用")</x:f>
        <x:v>2</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8" hidden="0" customWidth="1"/>
    <x:col min="2" max="2" width="90" hidden="0" customWidth="1"/>
    <x:col min="3" max="3" width="28" hidden="0" customWidth="1"/>
    <x:col min="4" max="4" width="28" hidden="0" customWidth="1"/>
  </x:cols>
  <x:sheetData>
    <x:row r="1">
      <x:c r="A1" s="40" t="str">
        <x:v>Firestore理解度チェック 問題マスタ</x:v>
      </x:c>
      <x:c r="B1" s="41"/>
      <x:c r="C1" s="41"/>
      <x:c r="D1" s="42"/>
    </x:row>
    <x:row r="2">
      <x:c r="A2" s="24"/>
      <x:c r="B2" s="25"/>
      <x:c r="C2" s="25"/>
      <x:c r="D2" s="26"/>
    </x:row>
    <x:row r="3">
      <x:c r="A3" s="43" t="str">
        <x:v>使い方</x:v>
      </x:c>
      <x:c r="B3" s="7" t="str">
        <x:v>問題マスタシートの1行目を含めてGoogle Spreadsheetへコピーしてください。</x:v>
      </x:c>
      <x:c r="C3" s="7" t="str"/>
      <x:c r="D3" s="12" t="str"/>
    </x:row>
    <x:row r="4">
      <x:c r="A4" s="43" t="str">
        <x:v>内容</x:v>
      </x:c>
      <x:c r="B4" s="7" t="str">
        <x:v>問題はFirestoreのAPI、クエリ、設計、セキュリティルール、インデックス、リアルタイム監視だけに絞っています。</x:v>
      </x:c>
      <x:c r="C4" s="7" t="str"/>
      <x:c r="D4" s="12" t="str"/>
    </x:row>
    <x:row r="5">
      <x:c r="A5" s="43" t="str">
        <x:v>正解番号</x:v>
      </x:c>
      <x:c r="B5" s="7" t="str">
        <x:v>1から4の番号です。正解位置は均等に散るようにしています。</x:v>
      </x:c>
      <x:c r="C5" s="7" t="str"/>
      <x:c r="D5" s="12" t="str"/>
    </x:row>
    <x:row r="6">
      <x:c r="A6" s="43" t="str">
        <x:v>列構成</x:v>
      </x:c>
      <x:c r="B6" s="7" t="str">
        <x:v>app.jsとApps Scriptが読み取れる列名に合わせています。</x:v>
      </x:c>
      <x:c r="C6" s="7" t="str"/>
      <x:c r="D6" s="12" t="str"/>
    </x:row>
    <x:row r="7">
      <x:c r="A7" s="43" t="str">
        <x:v>問題数</x:v>
      </x:c>
      <x:c r="B7" s="7" t="n">
        <x:v>240</x:v>
      </x:c>
      <x:c r="C7" s="7" t="str"/>
      <x:c r="D7" s="12" t="str"/>
    </x:row>
    <x:row r="8">
      <x:c r="A8" s="43" t="str">
        <x:v>カテゴリ数</x:v>
      </x:c>
      <x:c r="B8" s="7" t="n">
        <x:v>18</x:v>
      </x:c>
      <x:c r="C8" s="7" t="str"/>
      <x:c r="D8" s="12" t="str"/>
    </x:row>
    <x:row r="9">
      <x:c r="A9" s="43" t="str">
        <x:v>更新日</x:v>
      </x:c>
      <x:c r="B9" s="7" t="str">
        <x:v>2026-07-17</x:v>
      </x:c>
      <x:c r="C9" s="7" t="str"/>
      <x:c r="D9" s="12" t="str"/>
    </x:row>
    <x:row r="10">
      <x:c r="A10" s="44" t="str">
        <x:v>注意</x:v>
      </x:c>
      <x:c r="B10" s="14" t="str">
        <x:v>Spreadsheetへ反映後、Apps Scriptを再デプロイするとサイト側が最新問題を取得します。</x:v>
      </x:c>
      <x:c r="C10" s="14" t="str"/>
      <x:c r="D10" s="15" t="str"/>
    </x:row>
  </x:sheetData>
  <x:mergeCells>
    <x:mergeCell ref="A1:D1"/>
  </x:mergeCells>
  <x:pageMargins left="0.7" right="0.7" top="0.75" bottom="0.75" header="0.3" footer="0.3"/>
</x:worksheet>
</file>