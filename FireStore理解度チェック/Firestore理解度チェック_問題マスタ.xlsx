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574c180d240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問題マスタ" sheetId="1" r:id="R13878ea94f7e4bb1"/>
    <x:sheet xmlns:r="http://schemas.openxmlformats.org/officeDocument/2006/relationships" name="カテゴリ集計" sheetId="2" r:id="Rc59931743606490c"/>
    <x:sheet xmlns:r="http://schemas.openxmlformats.org/officeDocument/2006/relationships" name="使い方" sheetId="3" r:id="R7c49d4b3cdf74e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9">
    <x:border/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1" fillId="3" borderId="2" xfId="0" applyNumberFormat="1" applyFont="1" applyFill="1" applyBorder="1" applyAlignment="1">
      <x:alignment horizontal="center"/>
    </x:xf>
    <x:xf numFmtId="0" fontId="1" fillId="3" borderId="3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left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3" fillId="4" borderId="4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2243c852241db" /><Relationship Type="http://schemas.openxmlformats.org/officeDocument/2006/relationships/theme" Target="/xl/theme/theme1.xml" Id="R4fe753db4dba4c96" /><Relationship Type="http://schemas.openxmlformats.org/officeDocument/2006/relationships/sharedStrings" Target="/xl/sharedStrings.xml" Id="Rb9950c9e6d2f4313" /><Relationship Type="http://schemas.openxmlformats.org/officeDocument/2006/relationships/worksheet" Target="/xl/worksheets/sheet1.xml" Id="R13878ea94f7e4bb1" /><Relationship Type="http://schemas.openxmlformats.org/officeDocument/2006/relationships/worksheet" Target="/xl/worksheets/sheet2.xml" Id="Rc59931743606490c" /><Relationship Type="http://schemas.openxmlformats.org/officeDocument/2006/relationships/worksheet" Target="/xl/worksheets/sheet3.xml" Id="R7c49d4b3cdf74e17" /></Relationships>
</file>

<file path=xl/tables/table1.xml><?xml version="1.0" encoding="utf-8"?>
<x:table xmlns:x="http://schemas.openxmlformats.org/spreadsheetml/2006/main" id="1" name="QuestionMaster" displayName="QuestionMaster" ref="A1:P241" headerRowCount="1" totalsRowCount="0" totalsRowShown="0">
  <x:tableColumns count="16">
    <x:tableColumn id="1" name="問題ID"/>
    <x:tableColumn id="2" name="カテゴリ"/>
    <x:tableColumn id="3" name="難易度"/>
    <x:tableColumn id="4" name="出題形式"/>
    <x:tableColumn id="5" name="問題文"/>
    <x:tableColumn id="6" name="コード例"/>
    <x:tableColumn id="7" name="選択肢1"/>
    <x:tableColumn id="8" name="選択肢2"/>
    <x:tableColumn id="9" name="選択肢3"/>
    <x:tableColumn id="10" name="選択肢4"/>
    <x:tableColumn id="11" name="正解番号"/>
    <x:tableColumn id="12" name="正解テキスト"/>
    <x:tableColumn id="13" name="ヒント"/>
    <x:tableColumn id="14" name="解説"/>
    <x:tableColumn id="15" name="おすすめモード"/>
    <x:tableColumn id="16" name="タ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7382fd04094d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0" hidden="0" customWidth="1"/>
    <x:col min="4" max="4" width="10" hidden="0" customWidth="1"/>
    <x:col min="5" max="5" width="48" hidden="0" customWidth="1"/>
    <x:col min="6" max="6" width="32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10" hidden="0" customWidth="1"/>
    <x:col min="12" max="12" width="30" hidden="0" customWidth="1"/>
    <x:col min="13" max="13" width="44" hidden="0" customWidth="1"/>
    <x:col min="14" max="14" width="44" hidden="0" customWidth="1"/>
    <x:col min="15" max="15" width="14" hidden="0" customWidth="1"/>
    <x:col min="16" max="16" width="28" hidden="0" customWidth="1"/>
  </x:cols>
  <x:sheetData>
    <x:row r="1" ht="30" customHeight="1">
      <x:c r="A1" s="6" t="str">
        <x:v>問題ID</x:v>
      </x:c>
      <x:c r="B1" s="7" t="str">
        <x:v>カテゴリ</x:v>
      </x:c>
      <x:c r="C1" s="7" t="str">
        <x:v>難易度</x:v>
      </x:c>
      <x:c r="D1" s="7" t="str">
        <x:v>出題形式</x:v>
      </x:c>
      <x:c r="E1" s="7" t="str">
        <x:v>問題文</x:v>
      </x:c>
      <x:c r="F1" s="7" t="str">
        <x:v>コード例</x:v>
      </x:c>
      <x:c r="G1" s="7" t="str">
        <x:v>選択肢1</x:v>
      </x:c>
      <x:c r="H1" s="7" t="str">
        <x:v>選択肢2</x:v>
      </x:c>
      <x:c r="I1" s="7" t="str">
        <x:v>選択肢3</x:v>
      </x:c>
      <x:c r="J1" s="7" t="str">
        <x:v>選択肢4</x:v>
      </x:c>
      <x:c r="K1" s="7" t="str">
        <x:v>正解番号</x:v>
      </x:c>
      <x:c r="L1" s="7" t="str">
        <x:v>正解テキスト</x:v>
      </x:c>
      <x:c r="M1" s="7" t="str">
        <x:v>ヒント</x:v>
      </x:c>
      <x:c r="N1" s="7" t="str">
        <x:v>解説</x:v>
      </x:c>
      <x:c r="O1" s="7" t="str">
        <x:v>おすすめモード</x:v>
      </x:c>
      <x:c r="P1" s="8" t="str">
        <x:v>タグ</x:v>
      </x:c>
    </x:row>
    <x:row r="2" ht="72" customHeight="1">
      <x:c r="A2" s="21" t="str">
        <x:v>FSQ-001</x:v>
      </x:c>
      <x:c r="B2" s="22" t="str">
        <x:v>参照</x:v>
      </x:c>
      <x:c r="C2" s="22" t="str">
        <x:v>初級</x:v>
      </x:c>
      <x:c r="D2" s="22" t="str">
        <x:v>4択</x:v>
      </x:c>
      <x:c r="E2" s="22" t="str">
        <x:v>ordersコレクションの特定ドキュメントを更新・削除したい。先に作る参照として最も適切なのは？</x:v>
      </x:c>
      <x:c r="F2" s="22" t="str">
        <x:v>const ref = doc(db, 'orders', docId);</x:v>
      </x:c>
      <x:c r="G2" s="22" t="str">
        <x:v>doc(db, 'orders', docId)</x:v>
      </x:c>
      <x:c r="H2" s="22" t="str">
        <x:v>collection(db, 'orders', docId)</x:v>
      </x:c>
      <x:c r="I2" s="22" t="str">
        <x:v>where('orders', '==', docId)</x:v>
      </x:c>
      <x:c r="J2" s="22" t="str">
        <x:v>query(db, docId, 'orders')</x:v>
      </x:c>
      <x:c r="K2" s="27" t="n">
        <x:v>1</x:v>
      </x:c>
      <x:c r="L2" s="22" t="str">
        <x:v>doc(db, 'orders', docId)</x:v>
      </x:c>
      <x:c r="M2" s="22" t="str">
        <x:v>1件を直接指すときはcollectionではなくdocを使います。</x:v>
      </x:c>
      <x:c r="N2" s="22" t="str">
        <x:v>updateDocやdeleteDocは、対象ドキュメントを指すDocumentReferenceを受け取ります。collectionは一覧や追加の入口です。</x:v>
      </x:c>
      <x:c r="O2" s="22" t="str">
        <x:v>全範囲</x:v>
      </x:c>
      <x:c r="P2" s="23" t="str">
        <x:v>doc,orders,参照</x:v>
      </x:c>
    </x:row>
    <x:row r="3" ht="72" customHeight="1">
      <x:c r="A3" s="21" t="str">
        <x:v>FSQ-002</x:v>
      </x:c>
      <x:c r="B3" s="22" t="str">
        <x:v>参照</x:v>
      </x:c>
      <x:c r="C3" s="22" t="str">
        <x:v>初級</x:v>
      </x:c>
      <x:c r="D3" s="22" t="str">
        <x:v>4択</x:v>
      </x:c>
      <x:c r="E3" s="22" t="str">
        <x:v>CookListコレクションの特定ドキュメントを更新・削除したい。先に作る参照として最も適切なのは？</x:v>
      </x:c>
      <x:c r="F3" s="22" t="str">
        <x:v>const ref = doc(db, 'CookList', docId);</x:v>
      </x:c>
      <x:c r="G3" s="22" t="str">
        <x:v>collection(db, 'CookList', docId)</x:v>
      </x:c>
      <x:c r="H3" s="22" t="str">
        <x:v>doc(db, 'CookList', docId)</x:v>
      </x:c>
      <x:c r="I3" s="22" t="str">
        <x:v>where('CookList', '==', docId)</x:v>
      </x:c>
      <x:c r="J3" s="22" t="str">
        <x:v>query(db, docId, 'CookList')</x:v>
      </x:c>
      <x:c r="K3" s="27" t="n">
        <x:v>2</x:v>
      </x:c>
      <x:c r="L3" s="22" t="str">
        <x:v>doc(db, 'CookList', docId)</x:v>
      </x:c>
      <x:c r="M3" s="22" t="str">
        <x:v>1件を直接指すときはcollectionではなくdocを使います。</x:v>
      </x:c>
      <x:c r="N3" s="22" t="str">
        <x:v>updateDocやdeleteDocは、対象ドキュメントを指すDocumentReferenceを受け取ります。collectionは一覧や追加の入口です。</x:v>
      </x:c>
      <x:c r="O3" s="22" t="str">
        <x:v>全範囲</x:v>
      </x:c>
      <x:c r="P3" s="23" t="str">
        <x:v>doc,CookList,参照</x:v>
      </x:c>
    </x:row>
    <x:row r="4" ht="72" customHeight="1">
      <x:c r="A4" s="21" t="str">
        <x:v>FSQ-003</x:v>
      </x:c>
      <x:c r="B4" s="22" t="str">
        <x:v>参照</x:v>
      </x:c>
      <x:c r="C4" s="22" t="str">
        <x:v>中級</x:v>
      </x:c>
      <x:c r="D4" s="22" t="str">
        <x:v>4択</x:v>
      </x:c>
      <x:c r="E4" s="22" t="str">
        <x:v>StaffListコレクションの特定ドキュメントを更新・削除したい。先に作る参照として最も適切なのは？</x:v>
      </x:c>
      <x:c r="F4" s="22" t="str">
        <x:v>const ref = doc(db, 'StaffList', docId);</x:v>
      </x:c>
      <x:c r="G4" s="22" t="str">
        <x:v>collection(db, 'StaffList', docId)</x:v>
      </x:c>
      <x:c r="H4" s="22" t="str">
        <x:v>where('StaffList', '==', docId)</x:v>
      </x:c>
      <x:c r="I4" s="22" t="str">
        <x:v>doc(db, 'StaffList', docId)</x:v>
      </x:c>
      <x:c r="J4" s="22" t="str">
        <x:v>query(db, docId, 'StaffList')</x:v>
      </x:c>
      <x:c r="K4" s="27" t="n">
        <x:v>3</x:v>
      </x:c>
      <x:c r="L4" s="22" t="str">
        <x:v>doc(db, 'StaffList', docId)</x:v>
      </x:c>
      <x:c r="M4" s="22" t="str">
        <x:v>1件を直接指すときはcollectionではなくdocを使います。</x:v>
      </x:c>
      <x:c r="N4" s="22" t="str">
        <x:v>updateDocやdeleteDocは、対象ドキュメントを指すDocumentReferenceを受け取ります。collectionは一覧や追加の入口です。</x:v>
      </x:c>
      <x:c r="O4" s="22" t="str">
        <x:v>全範囲</x:v>
      </x:c>
      <x:c r="P4" s="23" t="str">
        <x:v>doc,StaffList,参照</x:v>
      </x:c>
    </x:row>
    <x:row r="5" ht="72" customHeight="1">
      <x:c r="A5" s="21" t="str">
        <x:v>FSQ-004</x:v>
      </x:c>
      <x:c r="B5" s="22" t="str">
        <x:v>参照</x:v>
      </x:c>
      <x:c r="C5" s="22" t="str">
        <x:v>中級</x:v>
      </x:c>
      <x:c r="D5" s="22" t="str">
        <x:v>4択</x:v>
      </x:c>
      <x:c r="E5" s="22" t="str">
        <x:v>menusコレクションの特定ドキュメントを更新・削除したい。先に作る参照として最も適切なのは？</x:v>
      </x:c>
      <x:c r="F5" s="22" t="str">
        <x:v>const ref = doc(db, 'menus', docId);</x:v>
      </x:c>
      <x:c r="G5" s="22" t="str">
        <x:v>collection(db, 'menus', docId)</x:v>
      </x:c>
      <x:c r="H5" s="22" t="str">
        <x:v>where('menus', '==', docId)</x:v>
      </x:c>
      <x:c r="I5" s="22" t="str">
        <x:v>query(db, docId, 'menus')</x:v>
      </x:c>
      <x:c r="J5" s="22" t="str">
        <x:v>doc(db, 'menus', docId)</x:v>
      </x:c>
      <x:c r="K5" s="27" t="n">
        <x:v>4</x:v>
      </x:c>
      <x:c r="L5" s="22" t="str">
        <x:v>doc(db, 'menus', docId)</x:v>
      </x:c>
      <x:c r="M5" s="22" t="str">
        <x:v>1件を直接指すときはcollectionではなくdocを使います。</x:v>
      </x:c>
      <x:c r="N5" s="22" t="str">
        <x:v>updateDocやdeleteDocは、対象ドキュメントを指すDocumentReferenceを受け取ります。collectionは一覧や追加の入口です。</x:v>
      </x:c>
      <x:c r="O5" s="22" t="str">
        <x:v>全範囲</x:v>
      </x:c>
      <x:c r="P5" s="23" t="str">
        <x:v>doc,menus,参照</x:v>
      </x:c>
    </x:row>
    <x:row r="6" ht="72" customHeight="1">
      <x:c r="A6" s="21" t="str">
        <x:v>FSQ-005</x:v>
      </x:c>
      <x:c r="B6" s="22" t="str">
        <x:v>参照</x:v>
      </x:c>
      <x:c r="C6" s="22" t="str">
        <x:v>応用</x:v>
      </x:c>
      <x:c r="D6" s="22" t="str">
        <x:v>4択</x:v>
      </x:c>
      <x:c r="E6" s="22" t="str">
        <x:v>tablesコレクションの特定ドキュメントを更新・削除したい。先に作る参照として最も適切なのは？</x:v>
      </x:c>
      <x:c r="F6" s="22" t="str">
        <x:v>const ref = doc(db, 'tables', docId);</x:v>
      </x:c>
      <x:c r="G6" s="22" t="str">
        <x:v>doc(db, 'tables', docId)</x:v>
      </x:c>
      <x:c r="H6" s="22" t="str">
        <x:v>collection(db, 'tables', docId)</x:v>
      </x:c>
      <x:c r="I6" s="22" t="str">
        <x:v>where('tables', '==', docId)</x:v>
      </x:c>
      <x:c r="J6" s="22" t="str">
        <x:v>query(db, docId, 'tables')</x:v>
      </x:c>
      <x:c r="K6" s="27" t="n">
        <x:v>1</x:v>
      </x:c>
      <x:c r="L6" s="22" t="str">
        <x:v>doc(db, 'tables', docId)</x:v>
      </x:c>
      <x:c r="M6" s="22" t="str">
        <x:v>1件を直接指すときはcollectionではなくdocを使います。</x:v>
      </x:c>
      <x:c r="N6" s="22" t="str">
        <x:v>updateDocやdeleteDocは、対象ドキュメントを指すDocumentReferenceを受け取ります。collectionは一覧や追加の入口です。</x:v>
      </x:c>
      <x:c r="O6" s="22" t="str">
        <x:v>全範囲</x:v>
      </x:c>
      <x:c r="P6" s="23" t="str">
        <x:v>doc,tables,参照</x:v>
      </x:c>
    </x:row>
    <x:row r="7" ht="72" customHeight="1">
      <x:c r="A7" s="21" t="str">
        <x:v>FSQ-006</x:v>
      </x:c>
      <x:c r="B7" s="22" t="str">
        <x:v>参照</x:v>
      </x:c>
      <x:c r="C7" s="22" t="str">
        <x:v>初級</x:v>
      </x:c>
      <x:c r="D7" s="22" t="str">
        <x:v>4択</x:v>
      </x:c>
      <x:c r="E7" s="22" t="str">
        <x:v>learningLogsコレクションの特定ドキュメントを更新・削除したい。先に作る参照として最も適切なのは？</x:v>
      </x:c>
      <x:c r="F7" s="22" t="str">
        <x:v>const ref = doc(db, 'learningLogs', docId);</x:v>
      </x:c>
      <x:c r="G7" s="22" t="str">
        <x:v>collection(db, 'learningLogs', docId)</x:v>
      </x:c>
      <x:c r="H7" s="22" t="str">
        <x:v>doc(db, 'learningLogs', docId)</x:v>
      </x:c>
      <x:c r="I7" s="22" t="str">
        <x:v>where('learningLogs', '==', docId)</x:v>
      </x:c>
      <x:c r="J7" s="22" t="str">
        <x:v>query(db, docId, 'learningLogs')</x:v>
      </x:c>
      <x:c r="K7" s="27" t="n">
        <x:v>2</x:v>
      </x:c>
      <x:c r="L7" s="22" t="str">
        <x:v>doc(db, 'learningLogs', docId)</x:v>
      </x:c>
      <x:c r="M7" s="22" t="str">
        <x:v>1件を直接指すときはcollectionではなくdocを使います。</x:v>
      </x:c>
      <x:c r="N7" s="22" t="str">
        <x:v>updateDocやdeleteDocは、対象ドキュメントを指すDocumentReferenceを受け取ります。collectionは一覧や追加の入口です。</x:v>
      </x:c>
      <x:c r="O7" s="22" t="str">
        <x:v>全範囲</x:v>
      </x:c>
      <x:c r="P7" s="23" t="str">
        <x:v>doc,learningLogs,参照</x:v>
      </x:c>
    </x:row>
    <x:row r="8" ht="72" customHeight="1">
      <x:c r="A8" s="21" t="str">
        <x:v>FSQ-007</x:v>
      </x:c>
      <x:c r="B8" s="22" t="str">
        <x:v>参照</x:v>
      </x:c>
      <x:c r="C8" s="22" t="str">
        <x:v>初級</x:v>
      </x:c>
      <x:c r="D8" s="22" t="str">
        <x:v>4択</x:v>
      </x:c>
      <x:c r="E8" s="22" t="str">
        <x:v>quizQuestionsコレクションの特定ドキュメントを更新・削除したい。先に作る参照として最も適切なのは？</x:v>
      </x:c>
      <x:c r="F8" s="22" t="str">
        <x:v>const ref = doc(db, 'quizQuestions', docId);</x:v>
      </x:c>
      <x:c r="G8" s="22" t="str">
        <x:v>collection(db, 'quizQuestions', docId)</x:v>
      </x:c>
      <x:c r="H8" s="22" t="str">
        <x:v>where('quizQuestions', '==', docId)</x:v>
      </x:c>
      <x:c r="I8" s="22" t="str">
        <x:v>doc(db, 'quizQuestions', docId)</x:v>
      </x:c>
      <x:c r="J8" s="22" t="str">
        <x:v>query(db, docId, 'quizQuestions')</x:v>
      </x:c>
      <x:c r="K8" s="27" t="n">
        <x:v>3</x:v>
      </x:c>
      <x:c r="L8" s="22" t="str">
        <x:v>doc(db, 'quizQuestions', docId)</x:v>
      </x:c>
      <x:c r="M8" s="22" t="str">
        <x:v>1件を直接指すときはcollectionではなくdocを使います。</x:v>
      </x:c>
      <x:c r="N8" s="22" t="str">
        <x:v>updateDocやdeleteDocは、対象ドキュメントを指すDocumentReferenceを受け取ります。collectionは一覧や追加の入口です。</x:v>
      </x:c>
      <x:c r="O8" s="22" t="str">
        <x:v>全範囲</x:v>
      </x:c>
      <x:c r="P8" s="23" t="str">
        <x:v>doc,quizQuestions,参照</x:v>
      </x:c>
    </x:row>
    <x:row r="9" ht="72" customHeight="1">
      <x:c r="A9" s="21" t="str">
        <x:v>FSQ-008</x:v>
      </x:c>
      <x:c r="B9" s="22" t="str">
        <x:v>参照</x:v>
      </x:c>
      <x:c r="C9" s="22" t="str">
        <x:v>中級</x:v>
      </x:c>
      <x:c r="D9" s="22" t="str">
        <x:v>4択</x:v>
      </x:c>
      <x:c r="E9" s="22" t="str">
        <x:v>orderHistoryコレクションの特定ドキュメントを更新・削除したい。先に作る参照として最も適切なのは？</x:v>
      </x:c>
      <x:c r="F9" s="22" t="str">
        <x:v>const ref = doc(db, 'orderHistory', docId);</x:v>
      </x:c>
      <x:c r="G9" s="22" t="str">
        <x:v>collection(db, 'orderHistory', docId)</x:v>
      </x:c>
      <x:c r="H9" s="22" t="str">
        <x:v>where('orderHistory', '==', docId)</x:v>
      </x:c>
      <x:c r="I9" s="22" t="str">
        <x:v>query(db, docId, 'orderHistory')</x:v>
      </x:c>
      <x:c r="J9" s="22" t="str">
        <x:v>doc(db, 'orderHistory', docId)</x:v>
      </x:c>
      <x:c r="K9" s="27" t="n">
        <x:v>4</x:v>
      </x:c>
      <x:c r="L9" s="22" t="str">
        <x:v>doc(db, 'orderHistory', docId)</x:v>
      </x:c>
      <x:c r="M9" s="22" t="str">
        <x:v>1件を直接指すときはcollectionではなくdocを使います。</x:v>
      </x:c>
      <x:c r="N9" s="22" t="str">
        <x:v>updateDocやdeleteDocは、対象ドキュメントを指すDocumentReferenceを受け取ります。collectionは一覧や追加の入口です。</x:v>
      </x:c>
      <x:c r="O9" s="22" t="str">
        <x:v>全範囲</x:v>
      </x:c>
      <x:c r="P9" s="23" t="str">
        <x:v>doc,orderHistory,参照</x:v>
      </x:c>
    </x:row>
    <x:row r="10" ht="72" customHeight="1">
      <x:c r="A10" s="21" t="str">
        <x:v>FSQ-009</x:v>
      </x:c>
      <x:c r="B10" s="22" t="str">
        <x:v>参照</x:v>
      </x:c>
      <x:c r="C10" s="22" t="str">
        <x:v>中級</x:v>
      </x:c>
      <x:c r="D10" s="22" t="str">
        <x:v>4択</x:v>
      </x:c>
      <x:c r="E10" s="22" t="str">
        <x:v>settingsコレクションの特定ドキュメントを更新・削除したい。先に作る参照として最も適切なのは？</x:v>
      </x:c>
      <x:c r="F10" s="22" t="str">
        <x:v>const ref = doc(db, 'settings', docId);</x:v>
      </x:c>
      <x:c r="G10" s="22" t="str">
        <x:v>doc(db, 'settings', docId)</x:v>
      </x:c>
      <x:c r="H10" s="22" t="str">
        <x:v>collection(db, 'settings', docId)</x:v>
      </x:c>
      <x:c r="I10" s="22" t="str">
        <x:v>where('settings', '==', docId)</x:v>
      </x:c>
      <x:c r="J10" s="22" t="str">
        <x:v>query(db, docId, 'settings')</x:v>
      </x:c>
      <x:c r="K10" s="27" t="n">
        <x:v>1</x:v>
      </x:c>
      <x:c r="L10" s="22" t="str">
        <x:v>doc(db, 'settings', docId)</x:v>
      </x:c>
      <x:c r="M10" s="22" t="str">
        <x:v>1件を直接指すときはcollectionではなくdocを使います。</x:v>
      </x:c>
      <x:c r="N10" s="22" t="str">
        <x:v>updateDocやdeleteDocは、対象ドキュメントを指すDocumentReferenceを受け取ります。collectionは一覧や追加の入口です。</x:v>
      </x:c>
      <x:c r="O10" s="22" t="str">
        <x:v>全範囲</x:v>
      </x:c>
      <x:c r="P10" s="23" t="str">
        <x:v>doc,settings,参照</x:v>
      </x:c>
    </x:row>
    <x:row r="11" ht="72" customHeight="1">
      <x:c r="A11" s="21" t="str">
        <x:v>FSQ-010</x:v>
      </x:c>
      <x:c r="B11" s="22" t="str">
        <x:v>参照</x:v>
      </x:c>
      <x:c r="C11" s="22" t="str">
        <x:v>応用</x:v>
      </x:c>
      <x:c r="D11" s="22" t="str">
        <x:v>4択</x:v>
      </x:c>
      <x:c r="E11" s="22" t="str">
        <x:v>usersコレクションの特定ドキュメントを更新・削除したい。先に作る参照として最も適切なのは？</x:v>
      </x:c>
      <x:c r="F11" s="22" t="str">
        <x:v>const ref = doc(db, 'users', docId);</x:v>
      </x:c>
      <x:c r="G11" s="22" t="str">
        <x:v>collection(db, 'users', docId)</x:v>
      </x:c>
      <x:c r="H11" s="22" t="str">
        <x:v>doc(db, 'users', docId)</x:v>
      </x:c>
      <x:c r="I11" s="22" t="str">
        <x:v>where('users', '==', docId)</x:v>
      </x:c>
      <x:c r="J11" s="22" t="str">
        <x:v>query(db, docId, 'users')</x:v>
      </x:c>
      <x:c r="K11" s="27" t="n">
        <x:v>2</x:v>
      </x:c>
      <x:c r="L11" s="22" t="str">
        <x:v>doc(db, 'users', docId)</x:v>
      </x:c>
      <x:c r="M11" s="22" t="str">
        <x:v>1件を直接指すときはcollectionではなくdocを使います。</x:v>
      </x:c>
      <x:c r="N11" s="22" t="str">
        <x:v>updateDocやdeleteDocは、対象ドキュメントを指すDocumentReferenceを受け取ります。collectionは一覧や追加の入口です。</x:v>
      </x:c>
      <x:c r="O11" s="22" t="str">
        <x:v>全範囲</x:v>
      </x:c>
      <x:c r="P11" s="23" t="str">
        <x:v>doc,users,参照</x:v>
      </x:c>
    </x:row>
    <x:row r="12" ht="72" customHeight="1">
      <x:c r="A12" s="21" t="str">
        <x:v>FSQ-011</x:v>
      </x:c>
      <x:c r="B12" s="22" t="str">
        <x:v>検索</x:v>
      </x:c>
      <x:c r="C12" s="22" t="str">
        <x:v>初級</x:v>
      </x:c>
      <x:c r="D12" s="22" t="str">
        <x:v>4択</x:v>
      </x:c>
      <x:c r="E12" s="22" t="str">
        <x:v>01卓の注文だけを取得したい。where条件として正しいものは？</x:v>
      </x:c>
      <x:c r="F12" s="22" t="str">
        <x:v>query(collection(db, 'orders'), where('table', '==', '01'))</x:v>
      </x:c>
      <x:c r="G12" s="22" t="str">
        <x:v>where('guestCount', '==', '01')</x:v>
      </x:c>
      <x:c r="H12" s="22" t="str">
        <x:v>where('items.table', '==', '01')</x:v>
      </x:c>
      <x:c r="I12" s="22" t="str">
        <x:v>where('table', '==', '01')</x:v>
      </x:c>
      <x:c r="J12" s="22" t="str">
        <x:v>where('table', '!=', '01')</x:v>
      </x:c>
      <x:c r="K12" s="27" t="n">
        <x:v>3</x:v>
      </x:c>
      <x:c r="L12" s="22" t="str">
        <x:v>where('table', '==', '01')</x:v>
      </x:c>
      <x:c r="M12" s="22" t="str">
        <x:v>卓番を保存しているフィールド名を条件にします。</x:v>
      </x:c>
      <x:c r="N12" s="22" t="str">
        <x:v>ordersドキュメントにtableとして保存しているなら、tableの完全一致で絞り込みます。01と1が混ざると検索漏れが起きます。</x:v>
      </x:c>
      <x:c r="O12" s="22" t="str">
        <x:v>日替わり</x:v>
      </x:c>
      <x:c r="P12" s="23" t="str">
        <x:v>where,table,01</x:v>
      </x:c>
    </x:row>
    <x:row r="13" ht="72" customHeight="1">
      <x:c r="A13" s="21" t="str">
        <x:v>FSQ-012</x:v>
      </x:c>
      <x:c r="B13" s="22" t="str">
        <x:v>検索</x:v>
      </x:c>
      <x:c r="C13" s="22" t="str">
        <x:v>初級</x:v>
      </x:c>
      <x:c r="D13" s="22" t="str">
        <x:v>4択</x:v>
      </x:c>
      <x:c r="E13" s="22" t="str">
        <x:v>02卓の注文だけを取得したい。where条件として正しいものは？</x:v>
      </x:c>
      <x:c r="F13" s="22" t="str">
        <x:v>query(collection(db, 'orders'), where('table', '==', '02'))</x:v>
      </x:c>
      <x:c r="G13" s="22" t="str">
        <x:v>where('guestCount', '==', '02')</x:v>
      </x:c>
      <x:c r="H13" s="22" t="str">
        <x:v>where('items.table', '==', '02')</x:v>
      </x:c>
      <x:c r="I13" s="22" t="str">
        <x:v>where('table', '!=', '02')</x:v>
      </x:c>
      <x:c r="J13" s="22" t="str">
        <x:v>where('table', '==', '02')</x:v>
      </x:c>
      <x:c r="K13" s="27" t="n">
        <x:v>4</x:v>
      </x:c>
      <x:c r="L13" s="22" t="str">
        <x:v>where('table', '==', '02')</x:v>
      </x:c>
      <x:c r="M13" s="22" t="str">
        <x:v>卓番を保存しているフィールド名を条件にします。</x:v>
      </x:c>
      <x:c r="N13" s="22" t="str">
        <x:v>ordersドキュメントにtableとして保存しているなら、tableの完全一致で絞り込みます。01と1が混ざると検索漏れが起きます。</x:v>
      </x:c>
      <x:c r="O13" s="22" t="str">
        <x:v>日替わり</x:v>
      </x:c>
      <x:c r="P13" s="23" t="str">
        <x:v>where,table,02</x:v>
      </x:c>
    </x:row>
    <x:row r="14" ht="72" customHeight="1">
      <x:c r="A14" s="21" t="str">
        <x:v>FSQ-013</x:v>
      </x:c>
      <x:c r="B14" s="22" t="str">
        <x:v>検索</x:v>
      </x:c>
      <x:c r="C14" s="22" t="str">
        <x:v>中級</x:v>
      </x:c>
      <x:c r="D14" s="22" t="str">
        <x:v>4択</x:v>
      </x:c>
      <x:c r="E14" s="22" t="str">
        <x:v>03-0卓の注文だけを取得したい。where条件として正しいものは？</x:v>
      </x:c>
      <x:c r="F14" s="22" t="str">
        <x:v>query(collection(db, 'orders'), where('table', '==', '03-0'))</x:v>
      </x:c>
      <x:c r="G14" s="22" t="str">
        <x:v>where('table', '==', '03-0')</x:v>
      </x:c>
      <x:c r="H14" s="22" t="str">
        <x:v>where('guestCount', '==', '03-0')</x:v>
      </x:c>
      <x:c r="I14" s="22" t="str">
        <x:v>where('items.table', '==', '03-0')</x:v>
      </x:c>
      <x:c r="J14" s="22" t="str">
        <x:v>where('table', '!=', '03-0')</x:v>
      </x:c>
      <x:c r="K14" s="27" t="n">
        <x:v>1</x:v>
      </x:c>
      <x:c r="L14" s="22" t="str">
        <x:v>where('table', '==', '03-0')</x:v>
      </x:c>
      <x:c r="M14" s="22" t="str">
        <x:v>卓番を保存しているフィールド名を条件にします。</x:v>
      </x:c>
      <x:c r="N14" s="22" t="str">
        <x:v>ordersドキュメントにtableとして保存しているなら、tableの完全一致で絞り込みます。01と1が混ざると検索漏れが起きます。</x:v>
      </x:c>
      <x:c r="O14" s="22" t="str">
        <x:v>日替わり</x:v>
      </x:c>
      <x:c r="P14" s="23" t="str">
        <x:v>where,table,03-0</x:v>
      </x:c>
    </x:row>
    <x:row r="15" ht="72" customHeight="1">
      <x:c r="A15" s="21" t="str">
        <x:v>FSQ-014</x:v>
      </x:c>
      <x:c r="B15" s="22" t="str">
        <x:v>検索</x:v>
      </x:c>
      <x:c r="C15" s="22" t="str">
        <x:v>中級</x:v>
      </x:c>
      <x:c r="D15" s="22" t="str">
        <x:v>4択</x:v>
      </x:c>
      <x:c r="E15" s="22" t="str">
        <x:v>05-1卓の注文だけを取得したい。where条件として正しいものは？</x:v>
      </x:c>
      <x:c r="F15" s="22" t="str">
        <x:v>query(collection(db, 'orders'), where('table', '==', '05-1'))</x:v>
      </x:c>
      <x:c r="G15" s="22" t="str">
        <x:v>where('guestCount', '==', '05-1')</x:v>
      </x:c>
      <x:c r="H15" s="22" t="str">
        <x:v>where('table', '==', '05-1')</x:v>
      </x:c>
      <x:c r="I15" s="22" t="str">
        <x:v>where('items.table', '==', '05-1')</x:v>
      </x:c>
      <x:c r="J15" s="22" t="str">
        <x:v>where('table', '!=', '05-1')</x:v>
      </x:c>
      <x:c r="K15" s="27" t="n">
        <x:v>2</x:v>
      </x:c>
      <x:c r="L15" s="22" t="str">
        <x:v>where('table', '==', '05-1')</x:v>
      </x:c>
      <x:c r="M15" s="22" t="str">
        <x:v>卓番を保存しているフィールド名を条件にします。</x:v>
      </x:c>
      <x:c r="N15" s="22" t="str">
        <x:v>ordersドキュメントにtableとして保存しているなら、tableの完全一致で絞り込みます。01と1が混ざると検索漏れが起きます。</x:v>
      </x:c>
      <x:c r="O15" s="22" t="str">
        <x:v>日替わり</x:v>
      </x:c>
      <x:c r="P15" s="23" t="str">
        <x:v>where,table,05-1</x:v>
      </x:c>
    </x:row>
    <x:row r="16" ht="72" customHeight="1">
      <x:c r="A16" s="21" t="str">
        <x:v>FSQ-015</x:v>
      </x:c>
      <x:c r="B16" s="22" t="str">
        <x:v>検索</x:v>
      </x:c>
      <x:c r="C16" s="22" t="str">
        <x:v>応用</x:v>
      </x:c>
      <x:c r="D16" s="22" t="str">
        <x:v>4択</x:v>
      </x:c>
      <x:c r="E16" s="22" t="str">
        <x:v>10卓の注文だけを取得したい。where条件として正しいものは？</x:v>
      </x:c>
      <x:c r="F16" s="22" t="str">
        <x:v>query(collection(db, 'orders'), where('table', '==', '10'))</x:v>
      </x:c>
      <x:c r="G16" s="22" t="str">
        <x:v>where('guestCount', '==', '10')</x:v>
      </x:c>
      <x:c r="H16" s="22" t="str">
        <x:v>where('items.table', '==', '10')</x:v>
      </x:c>
      <x:c r="I16" s="22" t="str">
        <x:v>where('table', '==', '10')</x:v>
      </x:c>
      <x:c r="J16" s="22" t="str">
        <x:v>where('table', '!=', '10')</x:v>
      </x:c>
      <x:c r="K16" s="27" t="n">
        <x:v>3</x:v>
      </x:c>
      <x:c r="L16" s="22" t="str">
        <x:v>where('table', '==', '10')</x:v>
      </x:c>
      <x:c r="M16" s="22" t="str">
        <x:v>卓番を保存しているフィールド名を条件にします。</x:v>
      </x:c>
      <x:c r="N16" s="22" t="str">
        <x:v>ordersドキュメントにtableとして保存しているなら、tableの完全一致で絞り込みます。01と1が混ざると検索漏れが起きます。</x:v>
      </x:c>
      <x:c r="O16" s="22" t="str">
        <x:v>日替わり</x:v>
      </x:c>
      <x:c r="P16" s="23" t="str">
        <x:v>where,table,10</x:v>
      </x:c>
    </x:row>
    <x:row r="17" ht="72" customHeight="1">
      <x:c r="A17" s="21" t="str">
        <x:v>FSQ-016</x:v>
      </x:c>
      <x:c r="B17" s="22" t="str">
        <x:v>検索</x:v>
      </x:c>
      <x:c r="C17" s="22" t="str">
        <x:v>初級</x:v>
      </x:c>
      <x:c r="D17" s="22" t="str">
        <x:v>4択</x:v>
      </x:c>
      <x:c r="E17" s="22" t="str">
        <x:v>12-2卓の注文だけを取得したい。where条件として正しいものは？</x:v>
      </x:c>
      <x:c r="F17" s="22" t="str">
        <x:v>query(collection(db, 'orders'), where('table', '==', '12-2'))</x:v>
      </x:c>
      <x:c r="G17" s="22" t="str">
        <x:v>where('guestCount', '==', '12-2')</x:v>
      </x:c>
      <x:c r="H17" s="22" t="str">
        <x:v>where('items.table', '==', '12-2')</x:v>
      </x:c>
      <x:c r="I17" s="22" t="str">
        <x:v>where('table', '!=', '12-2')</x:v>
      </x:c>
      <x:c r="J17" s="22" t="str">
        <x:v>where('table', '==', '12-2')</x:v>
      </x:c>
      <x:c r="K17" s="27" t="n">
        <x:v>4</x:v>
      </x:c>
      <x:c r="L17" s="22" t="str">
        <x:v>where('table', '==', '12-2')</x:v>
      </x:c>
      <x:c r="M17" s="22" t="str">
        <x:v>卓番を保存しているフィールド名を条件にします。</x:v>
      </x:c>
      <x:c r="N17" s="22" t="str">
        <x:v>ordersドキュメントにtableとして保存しているなら、tableの完全一致で絞り込みます。01と1が混ざると検索漏れが起きます。</x:v>
      </x:c>
      <x:c r="O17" s="22" t="str">
        <x:v>日替わり</x:v>
      </x:c>
      <x:c r="P17" s="23" t="str">
        <x:v>where,table,12-2</x:v>
      </x:c>
    </x:row>
    <x:row r="18" ht="72" customHeight="1">
      <x:c r="A18" s="21" t="str">
        <x:v>FSQ-017</x:v>
      </x:c>
      <x:c r="B18" s="22" t="str">
        <x:v>検索</x:v>
      </x:c>
      <x:c r="C18" s="22" t="str">
        <x:v>初級</x:v>
      </x:c>
      <x:c r="D18" s="22" t="str">
        <x:v>4択</x:v>
      </x:c>
      <x:c r="E18" s="22" t="str">
        <x:v>20卓の注文だけを取得したい。where条件として正しいものは？</x:v>
      </x:c>
      <x:c r="F18" s="22" t="str">
        <x:v>query(collection(db, 'orders'), where('table', '==', '20'))</x:v>
      </x:c>
      <x:c r="G18" s="22" t="str">
        <x:v>where('table', '==', '20')</x:v>
      </x:c>
      <x:c r="H18" s="22" t="str">
        <x:v>where('guestCount', '==', '20')</x:v>
      </x:c>
      <x:c r="I18" s="22" t="str">
        <x:v>where('items.table', '==', '20')</x:v>
      </x:c>
      <x:c r="J18" s="22" t="str">
        <x:v>where('table', '!=', '20')</x:v>
      </x:c>
      <x:c r="K18" s="27" t="n">
        <x:v>1</x:v>
      </x:c>
      <x:c r="L18" s="22" t="str">
        <x:v>where('table', '==', '20')</x:v>
      </x:c>
      <x:c r="M18" s="22" t="str">
        <x:v>卓番を保存しているフィールド名を条件にします。</x:v>
      </x:c>
      <x:c r="N18" s="22" t="str">
        <x:v>ordersドキュメントにtableとして保存しているなら、tableの完全一致で絞り込みます。01と1が混ざると検索漏れが起きます。</x:v>
      </x:c>
      <x:c r="O18" s="22" t="str">
        <x:v>日替わり</x:v>
      </x:c>
      <x:c r="P18" s="23" t="str">
        <x:v>where,table,20</x:v>
      </x:c>
    </x:row>
    <x:row r="19" ht="72" customHeight="1">
      <x:c r="A19" s="21" t="str">
        <x:v>FSQ-018</x:v>
      </x:c>
      <x:c r="B19" s="22" t="str">
        <x:v>検索</x:v>
      </x:c>
      <x:c r="C19" s="22" t="str">
        <x:v>中級</x:v>
      </x:c>
      <x:c r="D19" s="22" t="str">
        <x:v>4択</x:v>
      </x:c>
      <x:c r="E19" s="22" t="str">
        <x:v>31-1卓の注文だけを取得したい。where条件として正しいものは？</x:v>
      </x:c>
      <x:c r="F19" s="22" t="str">
        <x:v>query(collection(db, 'orders'), where('table', '==', '31-1'))</x:v>
      </x:c>
      <x:c r="G19" s="22" t="str">
        <x:v>where('guestCount', '==', '31-1')</x:v>
      </x:c>
      <x:c r="H19" s="22" t="str">
        <x:v>where('table', '==', '31-1')</x:v>
      </x:c>
      <x:c r="I19" s="22" t="str">
        <x:v>where('items.table', '==', '31-1')</x:v>
      </x:c>
      <x:c r="J19" s="22" t="str">
        <x:v>where('table', '!=', '31-1')</x:v>
      </x:c>
      <x:c r="K19" s="27" t="n">
        <x:v>2</x:v>
      </x:c>
      <x:c r="L19" s="22" t="str">
        <x:v>where('table', '==', '31-1')</x:v>
      </x:c>
      <x:c r="M19" s="22" t="str">
        <x:v>卓番を保存しているフィールド名を条件にします。</x:v>
      </x:c>
      <x:c r="N19" s="22" t="str">
        <x:v>ordersドキュメントにtableとして保存しているなら、tableの完全一致で絞り込みます。01と1が混ざると検索漏れが起きます。</x:v>
      </x:c>
      <x:c r="O19" s="22" t="str">
        <x:v>日替わり</x:v>
      </x:c>
      <x:c r="P19" s="23" t="str">
        <x:v>where,table,31-1</x:v>
      </x:c>
    </x:row>
    <x:row r="20" ht="72" customHeight="1">
      <x:c r="A20" s="21" t="str">
        <x:v>FSQ-019</x:v>
      </x:c>
      <x:c r="B20" s="22" t="str">
        <x:v>検索</x:v>
      </x:c>
      <x:c r="C20" s="22" t="str">
        <x:v>中級</x:v>
      </x:c>
      <x:c r="D20" s="22" t="str">
        <x:v>4択</x:v>
      </x:c>
      <x:c r="E20" s="22" t="str">
        <x:v>45卓の注文だけを取得したい。where条件として正しいものは？</x:v>
      </x:c>
      <x:c r="F20" s="22" t="str">
        <x:v>query(collection(db, 'orders'), where('table', '==', '45'))</x:v>
      </x:c>
      <x:c r="G20" s="22" t="str">
        <x:v>where('guestCount', '==', '45')</x:v>
      </x:c>
      <x:c r="H20" s="22" t="str">
        <x:v>where('items.table', '==', '45')</x:v>
      </x:c>
      <x:c r="I20" s="22" t="str">
        <x:v>where('table', '==', '45')</x:v>
      </x:c>
      <x:c r="J20" s="22" t="str">
        <x:v>where('table', '!=', '45')</x:v>
      </x:c>
      <x:c r="K20" s="27" t="n">
        <x:v>3</x:v>
      </x:c>
      <x:c r="L20" s="22" t="str">
        <x:v>where('table', '==', '45')</x:v>
      </x:c>
      <x:c r="M20" s="22" t="str">
        <x:v>卓番を保存しているフィールド名を条件にします。</x:v>
      </x:c>
      <x:c r="N20" s="22" t="str">
        <x:v>ordersドキュメントにtableとして保存しているなら、tableの完全一致で絞り込みます。01と1が混ざると検索漏れが起きます。</x:v>
      </x:c>
      <x:c r="O20" s="22" t="str">
        <x:v>日替わり</x:v>
      </x:c>
      <x:c r="P20" s="23" t="str">
        <x:v>where,table,45</x:v>
      </x:c>
    </x:row>
    <x:row r="21" ht="72" customHeight="1">
      <x:c r="A21" s="21" t="str">
        <x:v>FSQ-020</x:v>
      </x:c>
      <x:c r="B21" s="22" t="str">
        <x:v>検索</x:v>
      </x:c>
      <x:c r="C21" s="22" t="str">
        <x:v>応用</x:v>
      </x:c>
      <x:c r="D21" s="22" t="str">
        <x:v>4択</x:v>
      </x:c>
      <x:c r="E21" s="22" t="str">
        <x:v>99卓の注文だけを取得したい。where条件として正しいものは？</x:v>
      </x:c>
      <x:c r="F21" s="22" t="str">
        <x:v>query(collection(db, 'orders'), where('table', '==', '99'))</x:v>
      </x:c>
      <x:c r="G21" s="22" t="str">
        <x:v>where('guestCount', '==', '99')</x:v>
      </x:c>
      <x:c r="H21" s="22" t="str">
        <x:v>where('items.table', '==', '99')</x:v>
      </x:c>
      <x:c r="I21" s="22" t="str">
        <x:v>where('table', '!=', '99')</x:v>
      </x:c>
      <x:c r="J21" s="22" t="str">
        <x:v>where('table', '==', '99')</x:v>
      </x:c>
      <x:c r="K21" s="27" t="n">
        <x:v>4</x:v>
      </x:c>
      <x:c r="L21" s="22" t="str">
        <x:v>where('table', '==', '99')</x:v>
      </x:c>
      <x:c r="M21" s="22" t="str">
        <x:v>卓番を保存しているフィールド名を条件にします。</x:v>
      </x:c>
      <x:c r="N21" s="22" t="str">
        <x:v>ordersドキュメントにtableとして保存しているなら、tableの完全一致で絞り込みます。01と1が混ざると検索漏れが起きます。</x:v>
      </x:c>
      <x:c r="O21" s="22" t="str">
        <x:v>日替わり</x:v>
      </x:c>
      <x:c r="P21" s="23" t="str">
        <x:v>where,table,99</x:v>
      </x:c>
    </x:row>
    <x:row r="22" ht="72" customHeight="1">
      <x:c r="A22" s="21" t="str">
        <x:v>FSQ-021</x:v>
      </x:c>
      <x:c r="B22" s="22" t="str">
        <x:v>更新</x:v>
      </x:c>
      <x:c r="C22" s="22" t="str">
        <x:v>初級</x:v>
      </x:c>
      <x:c r="D22" s="22" t="str">
        <x:v>4択</x:v>
      </x:c>
      <x:c r="E22" s="22" t="str">
        <x:v>既存の注文ドキュメントで「status」だけを変更したい。基本的に使うFirestore APIは？</x:v>
      </x:c>
      <x:c r="F22" s="22" t="str">
        <x:v>await updateDoc(orderRef, { status: value });</x:v>
      </x:c>
      <x:c r="G22" s="22" t="str">
        <x:v>updateDoc</x:v>
      </x:c>
      <x:c r="H22" s="22" t="str">
        <x:v>addDoc</x:v>
      </x:c>
      <x:c r="I22" s="22" t="str">
        <x:v>getDocs</x:v>
      </x:c>
      <x:c r="J22" s="22" t="str">
        <x:v>collection</x:v>
      </x:c>
      <x:c r="K22" s="27" t="n">
        <x:v>1</x:v>
      </x:c>
      <x:c r="L22" s="22" t="str">
        <x:v>updateDoc</x:v>
      </x:c>
      <x:c r="M22" s="22" t="str">
        <x:v>既存ドキュメントの一部更新に使います。</x:v>
      </x:c>
      <x:c r="N22" s="22" t="str">
        <x:v>updateDocは指定したフィールドだけを更新できます。addDocは新規追加、getDocsは取得、collectionは参照作成です。</x:v>
      </x:c>
      <x:c r="O22" s="22" t="str">
        <x:v>全範囲</x:v>
      </x:c>
      <x:c r="P22" s="23" t="str">
        <x:v>updateDoc,status,更新</x:v>
      </x:c>
    </x:row>
    <x:row r="23" ht="72" customHeight="1">
      <x:c r="A23" s="21" t="str">
        <x:v>FSQ-022</x:v>
      </x:c>
      <x:c r="B23" s="22" t="str">
        <x:v>更新</x:v>
      </x:c>
      <x:c r="C23" s="22" t="str">
        <x:v>初級</x:v>
      </x:c>
      <x:c r="D23" s="22" t="str">
        <x:v>4択</x:v>
      </x:c>
      <x:c r="E23" s="22" t="str">
        <x:v>既存の注文ドキュメントで「table」だけを変更したい。基本的に使うFirestore APIは？</x:v>
      </x:c>
      <x:c r="F23" s="22" t="str">
        <x:v>await updateDoc(orderRef, { table: value });</x:v>
      </x:c>
      <x:c r="G23" s="22" t="str">
        <x:v>addDoc</x:v>
      </x:c>
      <x:c r="H23" s="22" t="str">
        <x:v>updateDoc</x:v>
      </x:c>
      <x:c r="I23" s="22" t="str">
        <x:v>getDocs</x:v>
      </x:c>
      <x:c r="J23" s="22" t="str">
        <x:v>collection</x:v>
      </x:c>
      <x:c r="K23" s="27" t="n">
        <x:v>2</x:v>
      </x:c>
      <x:c r="L23" s="22" t="str">
        <x:v>updateDoc</x:v>
      </x:c>
      <x:c r="M23" s="22" t="str">
        <x:v>既存ドキュメントの一部更新に使います。</x:v>
      </x:c>
      <x:c r="N23" s="22" t="str">
        <x:v>updateDocは指定したフィールドだけを更新できます。addDocは新規追加、getDocsは取得、collectionは参照作成です。</x:v>
      </x:c>
      <x:c r="O23" s="22" t="str">
        <x:v>全範囲</x:v>
      </x:c>
      <x:c r="P23" s="23" t="str">
        <x:v>updateDoc,table,更新</x:v>
      </x:c>
    </x:row>
    <x:row r="24" ht="72" customHeight="1">
      <x:c r="A24" s="21" t="str">
        <x:v>FSQ-023</x:v>
      </x:c>
      <x:c r="B24" s="22" t="str">
        <x:v>更新</x:v>
      </x:c>
      <x:c r="C24" s="22" t="str">
        <x:v>中級</x:v>
      </x:c>
      <x:c r="D24" s="22" t="str">
        <x:v>4択</x:v>
      </x:c>
      <x:c r="E24" s="22" t="str">
        <x:v>既存の注文ドキュメントで「guestCount」だけを変更したい。基本的に使うFirestore APIは？</x:v>
      </x:c>
      <x:c r="F24" s="22" t="str">
        <x:v>await updateDoc(orderRef, { guestCount: value });</x:v>
      </x:c>
      <x:c r="G24" s="22" t="str">
        <x:v>addDoc</x:v>
      </x:c>
      <x:c r="H24" s="22" t="str">
        <x:v>getDocs</x:v>
      </x:c>
      <x:c r="I24" s="22" t="str">
        <x:v>updateDoc</x:v>
      </x:c>
      <x:c r="J24" s="22" t="str">
        <x:v>collection</x:v>
      </x:c>
      <x:c r="K24" s="27" t="n">
        <x:v>3</x:v>
      </x:c>
      <x:c r="L24" s="22" t="str">
        <x:v>updateDoc</x:v>
      </x:c>
      <x:c r="M24" s="22" t="str">
        <x:v>既存ドキュメントの一部更新に使います。</x:v>
      </x:c>
      <x:c r="N24" s="22" t="str">
        <x:v>updateDocは指定したフィールドだけを更新できます。addDocは新規追加、getDocsは取得、collectionは参照作成です。</x:v>
      </x:c>
      <x:c r="O24" s="22" t="str">
        <x:v>全範囲</x:v>
      </x:c>
      <x:c r="P24" s="23" t="str">
        <x:v>updateDoc,guestCount,更新</x:v>
      </x:c>
    </x:row>
    <x:row r="25" ht="72" customHeight="1">
      <x:c r="A25" s="21" t="str">
        <x:v>FSQ-024</x:v>
      </x:c>
      <x:c r="B25" s="22" t="str">
        <x:v>更新</x:v>
      </x:c>
      <x:c r="C25" s="22" t="str">
        <x:v>中級</x:v>
      </x:c>
      <x:c r="D25" s="22" t="str">
        <x:v>4択</x:v>
      </x:c>
      <x:c r="E25" s="22" t="str">
        <x:v>既存の注文ドキュメントで「staffCode」だけを変更したい。基本的に使うFirestore APIは？</x:v>
      </x:c>
      <x:c r="F25" s="22" t="str">
        <x:v>await updateDoc(orderRef, { staffCode: value });</x:v>
      </x:c>
      <x:c r="G25" s="22" t="str">
        <x:v>addDoc</x:v>
      </x:c>
      <x:c r="H25" s="22" t="str">
        <x:v>getDocs</x:v>
      </x:c>
      <x:c r="I25" s="22" t="str">
        <x:v>collection</x:v>
      </x:c>
      <x:c r="J25" s="22" t="str">
        <x:v>updateDoc</x:v>
      </x:c>
      <x:c r="K25" s="27" t="n">
        <x:v>4</x:v>
      </x:c>
      <x:c r="L25" s="22" t="str">
        <x:v>updateDoc</x:v>
      </x:c>
      <x:c r="M25" s="22" t="str">
        <x:v>既存ドキュメントの一部更新に使います。</x:v>
      </x:c>
      <x:c r="N25" s="22" t="str">
        <x:v>updateDocは指定したフィールドだけを更新できます。addDocは新規追加、getDocsは取得、collectionは参照作成です。</x:v>
      </x:c>
      <x:c r="O25" s="22" t="str">
        <x:v>全範囲</x:v>
      </x:c>
      <x:c r="P25" s="23" t="str">
        <x:v>updateDoc,staffCode,更新</x:v>
      </x:c>
    </x:row>
    <x:row r="26" ht="72" customHeight="1">
      <x:c r="A26" s="21" t="str">
        <x:v>FSQ-025</x:v>
      </x:c>
      <x:c r="B26" s="22" t="str">
        <x:v>更新</x:v>
      </x:c>
      <x:c r="C26" s="22" t="str">
        <x:v>応用</x:v>
      </x:c>
      <x:c r="D26" s="22" t="str">
        <x:v>4択</x:v>
      </x:c>
      <x:c r="E26" s="22" t="str">
        <x:v>既存の注文ドキュメントで「orderMethod」だけを変更したい。基本的に使うFirestore APIは？</x:v>
      </x:c>
      <x:c r="F26" s="22" t="str">
        <x:v>await updateDoc(orderRef, { orderMethod: value });</x:v>
      </x:c>
      <x:c r="G26" s="22" t="str">
        <x:v>updateDoc</x:v>
      </x:c>
      <x:c r="H26" s="22" t="str">
        <x:v>addDoc</x:v>
      </x:c>
      <x:c r="I26" s="22" t="str">
        <x:v>getDocs</x:v>
      </x:c>
      <x:c r="J26" s="22" t="str">
        <x:v>collection</x:v>
      </x:c>
      <x:c r="K26" s="27" t="n">
        <x:v>1</x:v>
      </x:c>
      <x:c r="L26" s="22" t="str">
        <x:v>updateDoc</x:v>
      </x:c>
      <x:c r="M26" s="22" t="str">
        <x:v>既存ドキュメントの一部更新に使います。</x:v>
      </x:c>
      <x:c r="N26" s="22" t="str">
        <x:v>updateDocは指定したフィールドだけを更新できます。addDocは新規追加、getDocsは取得、collectionは参照作成です。</x:v>
      </x:c>
      <x:c r="O26" s="22" t="str">
        <x:v>全範囲</x:v>
      </x:c>
      <x:c r="P26" s="23" t="str">
        <x:v>updateDoc,orderMethod,更新</x:v>
      </x:c>
    </x:row>
    <x:row r="27" ht="72" customHeight="1">
      <x:c r="A27" s="21" t="str">
        <x:v>FSQ-026</x:v>
      </x:c>
      <x:c r="B27" s="22" t="str">
        <x:v>更新</x:v>
      </x:c>
      <x:c r="C27" s="22" t="str">
        <x:v>初級</x:v>
      </x:c>
      <x:c r="D27" s="22" t="str">
        <x:v>4択</x:v>
      </x:c>
      <x:c r="E27" s="22" t="str">
        <x:v>既存の注文ドキュメントで「updatedAt」だけを変更したい。基本的に使うFirestore APIは？</x:v>
      </x:c>
      <x:c r="F27" s="22" t="str">
        <x:v>await updateDoc(orderRef, { updatedAt: value });</x:v>
      </x:c>
      <x:c r="G27" s="22" t="str">
        <x:v>addDoc</x:v>
      </x:c>
      <x:c r="H27" s="22" t="str">
        <x:v>updateDoc</x:v>
      </x:c>
      <x:c r="I27" s="22" t="str">
        <x:v>getDocs</x:v>
      </x:c>
      <x:c r="J27" s="22" t="str">
        <x:v>collection</x:v>
      </x:c>
      <x:c r="K27" s="27" t="n">
        <x:v>2</x:v>
      </x:c>
      <x:c r="L27" s="22" t="str">
        <x:v>updateDoc</x:v>
      </x:c>
      <x:c r="M27" s="22" t="str">
        <x:v>既存ドキュメントの一部更新に使います。</x:v>
      </x:c>
      <x:c r="N27" s="22" t="str">
        <x:v>updateDocは指定したフィールドだけを更新できます。addDocは新規追加、getDocsは取得、collectionは参照作成です。</x:v>
      </x:c>
      <x:c r="O27" s="22" t="str">
        <x:v>全範囲</x:v>
      </x:c>
      <x:c r="P27" s="23" t="str">
        <x:v>updateDoc,updatedAt,更新</x:v>
      </x:c>
    </x:row>
    <x:row r="28" ht="72" customHeight="1">
      <x:c r="A28" s="21" t="str">
        <x:v>FSQ-027</x:v>
      </x:c>
      <x:c r="B28" s="22" t="str">
        <x:v>更新</x:v>
      </x:c>
      <x:c r="C28" s="22" t="str">
        <x:v>初級</x:v>
      </x:c>
      <x:c r="D28" s="22" t="str">
        <x:v>4択</x:v>
      </x:c>
      <x:c r="E28" s="22" t="str">
        <x:v>既存の注文ドキュメントで「note」だけを変更したい。基本的に使うFirestore APIは？</x:v>
      </x:c>
      <x:c r="F28" s="22" t="str">
        <x:v>await updateDoc(orderRef, { note: value });</x:v>
      </x:c>
      <x:c r="G28" s="22" t="str">
        <x:v>addDoc</x:v>
      </x:c>
      <x:c r="H28" s="22" t="str">
        <x:v>getDocs</x:v>
      </x:c>
      <x:c r="I28" s="22" t="str">
        <x:v>updateDoc</x:v>
      </x:c>
      <x:c r="J28" s="22" t="str">
        <x:v>collection</x:v>
      </x:c>
      <x:c r="K28" s="27" t="n">
        <x:v>3</x:v>
      </x:c>
      <x:c r="L28" s="22" t="str">
        <x:v>updateDoc</x:v>
      </x:c>
      <x:c r="M28" s="22" t="str">
        <x:v>既存ドキュメントの一部更新に使います。</x:v>
      </x:c>
      <x:c r="N28" s="22" t="str">
        <x:v>updateDocは指定したフィールドだけを更新できます。addDocは新規追加、getDocsは取得、collectionは参照作成です。</x:v>
      </x:c>
      <x:c r="O28" s="22" t="str">
        <x:v>全範囲</x:v>
      </x:c>
      <x:c r="P28" s="23" t="str">
        <x:v>updateDoc,note,更新</x:v>
      </x:c>
    </x:row>
    <x:row r="29" ht="72" customHeight="1">
      <x:c r="A29" s="21" t="str">
        <x:v>FSQ-028</x:v>
      </x:c>
      <x:c r="B29" s="22" t="str">
        <x:v>更新</x:v>
      </x:c>
      <x:c r="C29" s="22" t="str">
        <x:v>中級</x:v>
      </x:c>
      <x:c r="D29" s="22" t="str">
        <x:v>4択</x:v>
      </x:c>
      <x:c r="E29" s="22" t="str">
        <x:v>既存の注文ドキュメントで「priority」だけを変更したい。基本的に使うFirestore APIは？</x:v>
      </x:c>
      <x:c r="F29" s="22" t="str">
        <x:v>await updateDoc(orderRef, { priority: value });</x:v>
      </x:c>
      <x:c r="G29" s="22" t="str">
        <x:v>addDoc</x:v>
      </x:c>
      <x:c r="H29" s="22" t="str">
        <x:v>getDocs</x:v>
      </x:c>
      <x:c r="I29" s="22" t="str">
        <x:v>collection</x:v>
      </x:c>
      <x:c r="J29" s="22" t="str">
        <x:v>updateDoc</x:v>
      </x:c>
      <x:c r="K29" s="27" t="n">
        <x:v>4</x:v>
      </x:c>
      <x:c r="L29" s="22" t="str">
        <x:v>updateDoc</x:v>
      </x:c>
      <x:c r="M29" s="22" t="str">
        <x:v>既存ドキュメントの一部更新に使います。</x:v>
      </x:c>
      <x:c r="N29" s="22" t="str">
        <x:v>updateDocは指定したフィールドだけを更新できます。addDocは新規追加、getDocsは取得、collectionは参照作成です。</x:v>
      </x:c>
      <x:c r="O29" s="22" t="str">
        <x:v>全範囲</x:v>
      </x:c>
      <x:c r="P29" s="23" t="str">
        <x:v>updateDoc,priority,更新</x:v>
      </x:c>
    </x:row>
    <x:row r="30" ht="72" customHeight="1">
      <x:c r="A30" s="21" t="str">
        <x:v>FSQ-029</x:v>
      </x:c>
      <x:c r="B30" s="22" t="str">
        <x:v>更新</x:v>
      </x:c>
      <x:c r="C30" s="22" t="str">
        <x:v>中級</x:v>
      </x:c>
      <x:c r="D30" s="22" t="str">
        <x:v>4択</x:v>
      </x:c>
      <x:c r="E30" s="22" t="str">
        <x:v>既存の注文ドキュメントで「hidden」だけを変更したい。基本的に使うFirestore APIは？</x:v>
      </x:c>
      <x:c r="F30" s="22" t="str">
        <x:v>await updateDoc(orderRef, { hidden: value });</x:v>
      </x:c>
      <x:c r="G30" s="22" t="str">
        <x:v>updateDoc</x:v>
      </x:c>
      <x:c r="H30" s="22" t="str">
        <x:v>addDoc</x:v>
      </x:c>
      <x:c r="I30" s="22" t="str">
        <x:v>getDocs</x:v>
      </x:c>
      <x:c r="J30" s="22" t="str">
        <x:v>collection</x:v>
      </x:c>
      <x:c r="K30" s="27" t="n">
        <x:v>1</x:v>
      </x:c>
      <x:c r="L30" s="22" t="str">
        <x:v>updateDoc</x:v>
      </x:c>
      <x:c r="M30" s="22" t="str">
        <x:v>既存ドキュメントの一部更新に使います。</x:v>
      </x:c>
      <x:c r="N30" s="22" t="str">
        <x:v>updateDocは指定したフィールドだけを更新できます。addDocは新規追加、getDocsは取得、collectionは参照作成です。</x:v>
      </x:c>
      <x:c r="O30" s="22" t="str">
        <x:v>全範囲</x:v>
      </x:c>
      <x:c r="P30" s="23" t="str">
        <x:v>updateDoc,hidden,更新</x:v>
      </x:c>
    </x:row>
    <x:row r="31" ht="72" customHeight="1">
      <x:c r="A31" s="21" t="str">
        <x:v>FSQ-030</x:v>
      </x:c>
      <x:c r="B31" s="22" t="str">
        <x:v>更新</x:v>
      </x:c>
      <x:c r="C31" s="22" t="str">
        <x:v>応用</x:v>
      </x:c>
      <x:c r="D31" s="22" t="str">
        <x:v>4択</x:v>
      </x:c>
      <x:c r="E31" s="22" t="str">
        <x:v>既存の注文ドキュメントで「hiddenAt」だけを変更したい。基本的に使うFirestore APIは？</x:v>
      </x:c>
      <x:c r="F31" s="22" t="str">
        <x:v>await updateDoc(orderRef, { hiddenAt: value });</x:v>
      </x:c>
      <x:c r="G31" s="22" t="str">
        <x:v>addDoc</x:v>
      </x:c>
      <x:c r="H31" s="22" t="str">
        <x:v>updateDoc</x:v>
      </x:c>
      <x:c r="I31" s="22" t="str">
        <x:v>getDocs</x:v>
      </x:c>
      <x:c r="J31" s="22" t="str">
        <x:v>collection</x:v>
      </x:c>
      <x:c r="K31" s="27" t="n">
        <x:v>2</x:v>
      </x:c>
      <x:c r="L31" s="22" t="str">
        <x:v>updateDoc</x:v>
      </x:c>
      <x:c r="M31" s="22" t="str">
        <x:v>既存ドキュメントの一部更新に使います。</x:v>
      </x:c>
      <x:c r="N31" s="22" t="str">
        <x:v>updateDocは指定したフィールドだけを更新できます。addDocは新規追加、getDocsは取得、collectionは参照作成です。</x:v>
      </x:c>
      <x:c r="O31" s="22" t="str">
        <x:v>全範囲</x:v>
      </x:c>
      <x:c r="P31" s="23" t="str">
        <x:v>updateDoc,hiddenAt,更新</x:v>
      </x:c>
    </x:row>
    <x:row r="32" ht="72" customHeight="1">
      <x:c r="A32" s="21" t="str">
        <x:v>FSQ-031</x:v>
      </x:c>
      <x:c r="B32" s="22" t="str">
        <x:v>整合性</x:v>
      </x:c>
      <x:c r="C32" s="22" t="str">
        <x:v>初級</x:v>
      </x:c>
      <x:c r="D32" s="22" t="str">
        <x:v>4択</x:v>
      </x:c>
      <x:c r="E32" s="22" t="str">
        <x:v>注文登録で複数の書き込みが必要になった。途中失敗によるデータ不整合を減らすために検討するものは？</x:v>
      </x:c>
      <x:c r="F32" s="22" t="str">
        <x:v>const batch = writeBatch(db);</x:v>
      </x:c>
      <x:c r="G32" s="22" t="str">
        <x:v>setTimeoutを長くする</x:v>
      </x:c>
      <x:c r="H32" s="22" t="str">
        <x:v>alertを増やす</x:v>
      </x:c>
      <x:c r="I32" s="22" t="str">
        <x:v>writeBatchまたはtransaction</x:v>
      </x:c>
      <x:c r="J32" s="22" t="str">
        <x:v>CSSファイルを分ける</x:v>
      </x:c>
      <x:c r="K32" s="27" t="n">
        <x:v>3</x:v>
      </x:c>
      <x:c r="L32" s="22" t="str">
        <x:v>writeBatchまたはtransaction</x:v>
      </x:c>
      <x:c r="M32" s="22" t="str">
        <x:v>複数書き込みをまとめる仕組みです。</x:v>
      </x:c>
      <x:c r="N32" s="22" t="str">
        <x:v>関連する複数ドキュメントの更新はwriteBatchやtransactionでまとめると、途中失敗や競合への対策を考えやすくなります。</x:v>
      </x:c>
      <x:c r="O32" s="22" t="str">
        <x:v>実装判断</x:v>
      </x:c>
      <x:c r="P32" s="23" t="str">
        <x:v>batch,transaction,注文登録</x:v>
      </x:c>
    </x:row>
    <x:row r="33" ht="72" customHeight="1">
      <x:c r="A33" s="21" t="str">
        <x:v>FSQ-032</x:v>
      </x:c>
      <x:c r="B33" s="22" t="str">
        <x:v>整合性</x:v>
      </x:c>
      <x:c r="C33" s="22" t="str">
        <x:v>初級</x:v>
      </x:c>
      <x:c r="D33" s="22" t="str">
        <x:v>4択</x:v>
      </x:c>
      <x:c r="E33" s="22" t="str">
        <x:v>商品キャンセルで複数の書き込みが必要になった。途中失敗によるデータ不整合を減らすために検討するものは？</x:v>
      </x:c>
      <x:c r="F33" s="22" t="str">
        <x:v>const batch = writeBatch(db);</x:v>
      </x:c>
      <x:c r="G33" s="22" t="str">
        <x:v>setTimeoutを長くする</x:v>
      </x:c>
      <x:c r="H33" s="22" t="str">
        <x:v>alertを増やす</x:v>
      </x:c>
      <x:c r="I33" s="22" t="str">
        <x:v>CSSファイルを分ける</x:v>
      </x:c>
      <x:c r="J33" s="22" t="str">
        <x:v>writeBatchまたはtransaction</x:v>
      </x:c>
      <x:c r="K33" s="27" t="n">
        <x:v>4</x:v>
      </x:c>
      <x:c r="L33" s="22" t="str">
        <x:v>writeBatchまたはtransaction</x:v>
      </x:c>
      <x:c r="M33" s="22" t="str">
        <x:v>複数書き込みをまとめる仕組みです。</x:v>
      </x:c>
      <x:c r="N33" s="22" t="str">
        <x:v>関連する複数ドキュメントの更新はwriteBatchやtransactionでまとめると、途中失敗や競合への対策を考えやすくなります。</x:v>
      </x:c>
      <x:c r="O33" s="22" t="str">
        <x:v>実装判断</x:v>
      </x:c>
      <x:c r="P33" s="23" t="str">
        <x:v>batch,transaction,商品キャンセル</x:v>
      </x:c>
    </x:row>
    <x:row r="34" ht="72" customHeight="1">
      <x:c r="A34" s="21" t="str">
        <x:v>FSQ-033</x:v>
      </x:c>
      <x:c r="B34" s="22" t="str">
        <x:v>整合性</x:v>
      </x:c>
      <x:c r="C34" s="22" t="str">
        <x:v>中級</x:v>
      </x:c>
      <x:c r="D34" s="22" t="str">
        <x:v>4択</x:v>
      </x:c>
      <x:c r="E34" s="22" t="str">
        <x:v>テーブル変更で複数の書き込みが必要になった。途中失敗によるデータ不整合を減らすために検討するものは？</x:v>
      </x:c>
      <x:c r="F34" s="22" t="str">
        <x:v>const batch = writeBatch(db);</x:v>
      </x:c>
      <x:c r="G34" s="22" t="str">
        <x:v>writeBatchまたはtransaction</x:v>
      </x:c>
      <x:c r="H34" s="22" t="str">
        <x:v>setTimeoutを長くする</x:v>
      </x:c>
      <x:c r="I34" s="22" t="str">
        <x:v>alertを増やす</x:v>
      </x:c>
      <x:c r="J34" s="22" t="str">
        <x:v>CSSファイルを分ける</x:v>
      </x:c>
      <x:c r="K34" s="27" t="n">
        <x:v>1</x:v>
      </x:c>
      <x:c r="L34" s="22" t="str">
        <x:v>writeBatchまたはtransaction</x:v>
      </x:c>
      <x:c r="M34" s="22" t="str">
        <x:v>複数書き込みをまとめる仕組みです。</x:v>
      </x:c>
      <x:c r="N34" s="22" t="str">
        <x:v>関連する複数ドキュメントの更新はwriteBatchやtransactionでまとめると、途中失敗や競合への対策を考えやすくなります。</x:v>
      </x:c>
      <x:c r="O34" s="22" t="str">
        <x:v>実装判断</x:v>
      </x:c>
      <x:c r="P34" s="23" t="str">
        <x:v>batch,transaction,テーブル変更</x:v>
      </x:c>
    </x:row>
    <x:row r="35" ht="72" customHeight="1">
      <x:c r="A35" s="21" t="str">
        <x:v>FSQ-034</x:v>
      </x:c>
      <x:c r="B35" s="22" t="str">
        <x:v>整合性</x:v>
      </x:c>
      <x:c r="C35" s="22" t="str">
        <x:v>中級</x:v>
      </x:c>
      <x:c r="D35" s="22" t="str">
        <x:v>4択</x:v>
      </x:c>
      <x:c r="E35" s="22" t="str">
        <x:v>合算で複数の書き込みが必要になった。途中失敗によるデータ不整合を減らすために検討するものは？</x:v>
      </x:c>
      <x:c r="F35" s="22" t="str">
        <x:v>const batch = writeBatch(db);</x:v>
      </x:c>
      <x:c r="G35" s="22" t="str">
        <x:v>setTimeoutを長くする</x:v>
      </x:c>
      <x:c r="H35" s="22" t="str">
        <x:v>writeBatchまたはtransaction</x:v>
      </x:c>
      <x:c r="I35" s="22" t="str">
        <x:v>alertを増やす</x:v>
      </x:c>
      <x:c r="J35" s="22" t="str">
        <x:v>CSSファイルを分ける</x:v>
      </x:c>
      <x:c r="K35" s="27" t="n">
        <x:v>2</x:v>
      </x:c>
      <x:c r="L35" s="22" t="str">
        <x:v>writeBatchまたはtransaction</x:v>
      </x:c>
      <x:c r="M35" s="22" t="str">
        <x:v>複数書き込みをまとめる仕組みです。</x:v>
      </x:c>
      <x:c r="N35" s="22" t="str">
        <x:v>関連する複数ドキュメントの更新はwriteBatchやtransactionでまとめると、途中失敗や競合への対策を考えやすくなります。</x:v>
      </x:c>
      <x:c r="O35" s="22" t="str">
        <x:v>実装判断</x:v>
      </x:c>
      <x:c r="P35" s="23" t="str">
        <x:v>batch,transaction,合算</x:v>
      </x:c>
    </x:row>
    <x:row r="36" ht="72" customHeight="1">
      <x:c r="A36" s="21" t="str">
        <x:v>FSQ-035</x:v>
      </x:c>
      <x:c r="B36" s="22" t="str">
        <x:v>整合性</x:v>
      </x:c>
      <x:c r="C36" s="22" t="str">
        <x:v>応用</x:v>
      </x:c>
      <x:c r="D36" s="22" t="str">
        <x:v>4択</x:v>
      </x:c>
      <x:c r="E36" s="22" t="str">
        <x:v>提供完了で複数の書き込みが必要になった。途中失敗によるデータ不整合を減らすために検討するものは？</x:v>
      </x:c>
      <x:c r="F36" s="22" t="str">
        <x:v>const batch = writeBatch(db);</x:v>
      </x:c>
      <x:c r="G36" s="22" t="str">
        <x:v>setTimeoutを長くする</x:v>
      </x:c>
      <x:c r="H36" s="22" t="str">
        <x:v>alertを増やす</x:v>
      </x:c>
      <x:c r="I36" s="22" t="str">
        <x:v>writeBatchまたはtransaction</x:v>
      </x:c>
      <x:c r="J36" s="22" t="str">
        <x:v>CSSファイルを分ける</x:v>
      </x:c>
      <x:c r="K36" s="27" t="n">
        <x:v>3</x:v>
      </x:c>
      <x:c r="L36" s="22" t="str">
        <x:v>writeBatchまたはtransaction</x:v>
      </x:c>
      <x:c r="M36" s="22" t="str">
        <x:v>複数書き込みをまとめる仕組みです。</x:v>
      </x:c>
      <x:c r="N36" s="22" t="str">
        <x:v>関連する複数ドキュメントの更新はwriteBatchやtransactionでまとめると、途中失敗や競合への対策を考えやすくなります。</x:v>
      </x:c>
      <x:c r="O36" s="22" t="str">
        <x:v>実装判断</x:v>
      </x:c>
      <x:c r="P36" s="23" t="str">
        <x:v>batch,transaction,提供完了</x:v>
      </x:c>
    </x:row>
    <x:row r="37" ht="72" customHeight="1">
      <x:c r="A37" s="21" t="str">
        <x:v>FSQ-036</x:v>
      </x:c>
      <x:c r="B37" s="22" t="str">
        <x:v>整合性</x:v>
      </x:c>
      <x:c r="C37" s="22" t="str">
        <x:v>初級</x:v>
      </x:c>
      <x:c r="D37" s="22" t="str">
        <x:v>4択</x:v>
      </x:c>
      <x:c r="E37" s="22" t="str">
        <x:v>調理開始で複数の書き込みが必要になった。途中失敗によるデータ不整合を減らすために検討するものは？</x:v>
      </x:c>
      <x:c r="F37" s="22" t="str">
        <x:v>const batch = writeBatch(db);</x:v>
      </x:c>
      <x:c r="G37" s="22" t="str">
        <x:v>setTimeoutを長くする</x:v>
      </x:c>
      <x:c r="H37" s="22" t="str">
        <x:v>alertを増やす</x:v>
      </x:c>
      <x:c r="I37" s="22" t="str">
        <x:v>CSSファイルを分ける</x:v>
      </x:c>
      <x:c r="J37" s="22" t="str">
        <x:v>writeBatchまたはtransaction</x:v>
      </x:c>
      <x:c r="K37" s="27" t="n">
        <x:v>4</x:v>
      </x:c>
      <x:c r="L37" s="22" t="str">
        <x:v>writeBatchまたはtransaction</x:v>
      </x:c>
      <x:c r="M37" s="22" t="str">
        <x:v>複数書き込みをまとめる仕組みです。</x:v>
      </x:c>
      <x:c r="N37" s="22" t="str">
        <x:v>関連する複数ドキュメントの更新はwriteBatchやtransactionでまとめると、途中失敗や競合への対策を考えやすくなります。</x:v>
      </x:c>
      <x:c r="O37" s="22" t="str">
        <x:v>実装判断</x:v>
      </x:c>
      <x:c r="P37" s="23" t="str">
        <x:v>batch,transaction,調理開始</x:v>
      </x:c>
    </x:row>
    <x:row r="38" ht="72" customHeight="1">
      <x:c r="A38" s="21" t="str">
        <x:v>FSQ-037</x:v>
      </x:c>
      <x:c r="B38" s="22" t="str">
        <x:v>整合性</x:v>
      </x:c>
      <x:c r="C38" s="22" t="str">
        <x:v>初級</x:v>
      </x:c>
      <x:c r="D38" s="22" t="str">
        <x:v>4択</x:v>
      </x:c>
      <x:c r="E38" s="22" t="str">
        <x:v>担当者切替で複数の書き込みが必要になった。途中失敗によるデータ不整合を減らすために検討するものは？</x:v>
      </x:c>
      <x:c r="F38" s="22" t="str">
        <x:v>const batch = writeBatch(db);</x:v>
      </x:c>
      <x:c r="G38" s="22" t="str">
        <x:v>writeBatchまたはtransaction</x:v>
      </x:c>
      <x:c r="H38" s="22" t="str">
        <x:v>setTimeoutを長くする</x:v>
      </x:c>
      <x:c r="I38" s="22" t="str">
        <x:v>alertを増やす</x:v>
      </x:c>
      <x:c r="J38" s="22" t="str">
        <x:v>CSSファイルを分ける</x:v>
      </x:c>
      <x:c r="K38" s="27" t="n">
        <x:v>1</x:v>
      </x:c>
      <x:c r="L38" s="22" t="str">
        <x:v>writeBatchまたはtransaction</x:v>
      </x:c>
      <x:c r="M38" s="22" t="str">
        <x:v>複数書き込みをまとめる仕組みです。</x:v>
      </x:c>
      <x:c r="N38" s="22" t="str">
        <x:v>関連する複数ドキュメントの更新はwriteBatchやtransactionでまとめると、途中失敗や競合への対策を考えやすくなります。</x:v>
      </x:c>
      <x:c r="O38" s="22" t="str">
        <x:v>実装判断</x:v>
      </x:c>
      <x:c r="P38" s="23" t="str">
        <x:v>batch,transaction,担当者切替</x:v>
      </x:c>
    </x:row>
    <x:row r="39" ht="72" customHeight="1">
      <x:c r="A39" s="21" t="str">
        <x:v>FSQ-038</x:v>
      </x:c>
      <x:c r="B39" s="22" t="str">
        <x:v>整合性</x:v>
      </x:c>
      <x:c r="C39" s="22" t="str">
        <x:v>中級</x:v>
      </x:c>
      <x:c r="D39" s="22" t="str">
        <x:v>4択</x:v>
      </x:c>
      <x:c r="E39" s="22" t="str">
        <x:v>人数変更で複数の書き込みが必要になった。途中失敗によるデータ不整合を減らすために検討するものは？</x:v>
      </x:c>
      <x:c r="F39" s="22" t="str">
        <x:v>const batch = writeBatch(db);</x:v>
      </x:c>
      <x:c r="G39" s="22" t="str">
        <x:v>setTimeoutを長くする</x:v>
      </x:c>
      <x:c r="H39" s="22" t="str">
        <x:v>writeBatchまたはtransaction</x:v>
      </x:c>
      <x:c r="I39" s="22" t="str">
        <x:v>alertを増やす</x:v>
      </x:c>
      <x:c r="J39" s="22" t="str">
        <x:v>CSSファイルを分ける</x:v>
      </x:c>
      <x:c r="K39" s="27" t="n">
        <x:v>2</x:v>
      </x:c>
      <x:c r="L39" s="22" t="str">
        <x:v>writeBatchまたはtransaction</x:v>
      </x:c>
      <x:c r="M39" s="22" t="str">
        <x:v>複数書き込みをまとめる仕組みです。</x:v>
      </x:c>
      <x:c r="N39" s="22" t="str">
        <x:v>関連する複数ドキュメントの更新はwriteBatchやtransactionでまとめると、途中失敗や競合への対策を考えやすくなります。</x:v>
      </x:c>
      <x:c r="O39" s="22" t="str">
        <x:v>実装判断</x:v>
      </x:c>
      <x:c r="P39" s="23" t="str">
        <x:v>batch,transaction,人数変更</x:v>
      </x:c>
    </x:row>
    <x:row r="40" ht="72" customHeight="1">
      <x:c r="A40" s="21" t="str">
        <x:v>FSQ-039</x:v>
      </x:c>
      <x:c r="B40" s="22" t="str">
        <x:v>整合性</x:v>
      </x:c>
      <x:c r="C40" s="22" t="str">
        <x:v>中級</x:v>
      </x:c>
      <x:c r="D40" s="22" t="str">
        <x:v>4択</x:v>
      </x:c>
      <x:c r="E40" s="22" t="str">
        <x:v>遅延報告で複数の書き込みが必要になった。途中失敗によるデータ不整合を減らすために検討するものは？</x:v>
      </x:c>
      <x:c r="F40" s="22" t="str">
        <x:v>const batch = writeBatch(db);</x:v>
      </x:c>
      <x:c r="G40" s="22" t="str">
        <x:v>setTimeoutを長くする</x:v>
      </x:c>
      <x:c r="H40" s="22" t="str">
        <x:v>alertを増やす</x:v>
      </x:c>
      <x:c r="I40" s="22" t="str">
        <x:v>writeBatchまたはtransaction</x:v>
      </x:c>
      <x:c r="J40" s="22" t="str">
        <x:v>CSSファイルを分ける</x:v>
      </x:c>
      <x:c r="K40" s="27" t="n">
        <x:v>3</x:v>
      </x:c>
      <x:c r="L40" s="22" t="str">
        <x:v>writeBatchまたはtransaction</x:v>
      </x:c>
      <x:c r="M40" s="22" t="str">
        <x:v>複数書き込みをまとめる仕組みです。</x:v>
      </x:c>
      <x:c r="N40" s="22" t="str">
        <x:v>関連する複数ドキュメントの更新はwriteBatchやtransactionでまとめると、途中失敗や競合への対策を考えやすくなります。</x:v>
      </x:c>
      <x:c r="O40" s="22" t="str">
        <x:v>実装判断</x:v>
      </x:c>
      <x:c r="P40" s="23" t="str">
        <x:v>batch,transaction,遅延報告</x:v>
      </x:c>
    </x:row>
    <x:row r="41" ht="72" customHeight="1">
      <x:c r="A41" s="21" t="str">
        <x:v>FSQ-040</x:v>
      </x:c>
      <x:c r="B41" s="22" t="str">
        <x:v>整合性</x:v>
      </x:c>
      <x:c r="C41" s="22" t="str">
        <x:v>応用</x:v>
      </x:c>
      <x:c r="D41" s="22" t="str">
        <x:v>4択</x:v>
      </x:c>
      <x:c r="E41" s="22" t="str">
        <x:v>履歴保存で複数の書き込みが必要になった。途中失敗によるデータ不整合を減らすために検討するものは？</x:v>
      </x:c>
      <x:c r="F41" s="22" t="str">
        <x:v>const batch = writeBatch(db);</x:v>
      </x:c>
      <x:c r="G41" s="22" t="str">
        <x:v>setTimeoutを長くする</x:v>
      </x:c>
      <x:c r="H41" s="22" t="str">
        <x:v>alertを増やす</x:v>
      </x:c>
      <x:c r="I41" s="22" t="str">
        <x:v>CSSファイルを分ける</x:v>
      </x:c>
      <x:c r="J41" s="22" t="str">
        <x:v>writeBatchまたはtransaction</x:v>
      </x:c>
      <x:c r="K41" s="27" t="n">
        <x:v>4</x:v>
      </x:c>
      <x:c r="L41" s="22" t="str">
        <x:v>writeBatchまたはtransaction</x:v>
      </x:c>
      <x:c r="M41" s="22" t="str">
        <x:v>複数書き込みをまとめる仕組みです。</x:v>
      </x:c>
      <x:c r="N41" s="22" t="str">
        <x:v>関連する複数ドキュメントの更新はwriteBatchやtransactionでまとめると、途中失敗や競合への対策を考えやすくなります。</x:v>
      </x:c>
      <x:c r="O41" s="22" t="str">
        <x:v>実装判断</x:v>
      </x:c>
      <x:c r="P41" s="23" t="str">
        <x:v>batch,transaction,履歴保存</x:v>
      </x:c>
    </x:row>
    <x:row r="42" ht="72" customHeight="1">
      <x:c r="A42" s="21" t="str">
        <x:v>FSQ-041</x:v>
      </x:c>
      <x:c r="B42" s="22" t="str">
        <x:v>設計</x:v>
      </x:c>
      <x:c r="C42" s="22" t="str">
        <x:v>初級</x:v>
      </x:c>
      <x:c r="D42" s="22" t="str">
        <x:v>4択</x:v>
      </x:c>
      <x:c r="E42" s="22" t="str">
        <x:v>注文状態を「waiting」として保存したい。ordersに持たせる自然なフィールド名は？</x:v>
      </x:c>
      <x:c r="F42" s="22" t="str">
        <x:v>{ status: 'waiting' }</x:v>
      </x:c>
      <x:c r="G42" s="22" t="str">
        <x:v>status</x:v>
      </x:c>
      <x:c r="H42" s="22" t="str">
        <x:v>buttonText</x:v>
      </x:c>
      <x:c r="I42" s="22" t="str">
        <x:v>backgroundColor</x:v>
      </x:c>
      <x:c r="J42" s="22" t="str">
        <x:v>htmlMode</x:v>
      </x:c>
      <x:c r="K42" s="27" t="n">
        <x:v>1</x:v>
      </x:c>
      <x:c r="L42" s="22" t="str">
        <x:v>status</x:v>
      </x:c>
      <x:c r="M42" s="22" t="str">
        <x:v>状態は画面表示ではなくデータとして持ちます。</x:v>
      </x:c>
      <x:c r="N42" s="22" t="str">
        <x:v>statusを保存しておくと、KDS・履歴・検索・集計で同じ状態を扱えます。表示色だけではデータ処理に使いにくくなります。</x:v>
      </x:c>
      <x:c r="O42" s="22" t="str">
        <x:v>実装判断</x:v>
      </x:c>
      <x:c r="P42" s="23" t="str">
        <x:v>status,設計,waiting</x:v>
      </x:c>
    </x:row>
    <x:row r="43" ht="72" customHeight="1">
      <x:c r="A43" s="21" t="str">
        <x:v>FSQ-042</x:v>
      </x:c>
      <x:c r="B43" s="22" t="str">
        <x:v>設計</x:v>
      </x:c>
      <x:c r="C43" s="22" t="str">
        <x:v>初級</x:v>
      </x:c>
      <x:c r="D43" s="22" t="str">
        <x:v>4択</x:v>
      </x:c>
      <x:c r="E43" s="22" t="str">
        <x:v>注文状態を「cooking」として保存したい。ordersに持たせる自然なフィールド名は？</x:v>
      </x:c>
      <x:c r="F43" s="22" t="str">
        <x:v>{ status: 'cooking' }</x:v>
      </x:c>
      <x:c r="G43" s="22" t="str">
        <x:v>buttonText</x:v>
      </x:c>
      <x:c r="H43" s="22" t="str">
        <x:v>status</x:v>
      </x:c>
      <x:c r="I43" s="22" t="str">
        <x:v>backgroundColor</x:v>
      </x:c>
      <x:c r="J43" s="22" t="str">
        <x:v>htmlMode</x:v>
      </x:c>
      <x:c r="K43" s="27" t="n">
        <x:v>2</x:v>
      </x:c>
      <x:c r="L43" s="22" t="str">
        <x:v>status</x:v>
      </x:c>
      <x:c r="M43" s="22" t="str">
        <x:v>状態は画面表示ではなくデータとして持ちます。</x:v>
      </x:c>
      <x:c r="N43" s="22" t="str">
        <x:v>statusを保存しておくと、KDS・履歴・検索・集計で同じ状態を扱えます。表示色だけではデータ処理に使いにくくなります。</x:v>
      </x:c>
      <x:c r="O43" s="22" t="str">
        <x:v>実装判断</x:v>
      </x:c>
      <x:c r="P43" s="23" t="str">
        <x:v>status,設計,cooking</x:v>
      </x:c>
    </x:row>
    <x:row r="44" ht="72" customHeight="1">
      <x:c r="A44" s="21" t="str">
        <x:v>FSQ-043</x:v>
      </x:c>
      <x:c r="B44" s="22" t="str">
        <x:v>設計</x:v>
      </x:c>
      <x:c r="C44" s="22" t="str">
        <x:v>中級</x:v>
      </x:c>
      <x:c r="D44" s="22" t="str">
        <x:v>4択</x:v>
      </x:c>
      <x:c r="E44" s="22" t="str">
        <x:v>注文状態を「ready」として保存したい。ordersに持たせる自然なフィールド名は？</x:v>
      </x:c>
      <x:c r="F44" s="22" t="str">
        <x:v>{ status: 'ready' }</x:v>
      </x:c>
      <x:c r="G44" s="22" t="str">
        <x:v>buttonText</x:v>
      </x:c>
      <x:c r="H44" s="22" t="str">
        <x:v>backgroundColor</x:v>
      </x:c>
      <x:c r="I44" s="22" t="str">
        <x:v>status</x:v>
      </x:c>
      <x:c r="J44" s="22" t="str">
        <x:v>htmlMode</x:v>
      </x:c>
      <x:c r="K44" s="27" t="n">
        <x:v>3</x:v>
      </x:c>
      <x:c r="L44" s="22" t="str">
        <x:v>status</x:v>
      </x:c>
      <x:c r="M44" s="22" t="str">
        <x:v>状態は画面表示ではなくデータとして持ちます。</x:v>
      </x:c>
      <x:c r="N44" s="22" t="str">
        <x:v>statusを保存しておくと、KDS・履歴・検索・集計で同じ状態を扱えます。表示色だけではデータ処理に使いにくくなります。</x:v>
      </x:c>
      <x:c r="O44" s="22" t="str">
        <x:v>実装判断</x:v>
      </x:c>
      <x:c r="P44" s="23" t="str">
        <x:v>status,設計,ready</x:v>
      </x:c>
    </x:row>
    <x:row r="45" ht="72" customHeight="1">
      <x:c r="A45" s="21" t="str">
        <x:v>FSQ-044</x:v>
      </x:c>
      <x:c r="B45" s="22" t="str">
        <x:v>設計</x:v>
      </x:c>
      <x:c r="C45" s="22" t="str">
        <x:v>中級</x:v>
      </x:c>
      <x:c r="D45" s="22" t="str">
        <x:v>4択</x:v>
      </x:c>
      <x:c r="E45" s="22" t="str">
        <x:v>注文状態を「served」として保存したい。ordersに持たせる自然なフィールド名は？</x:v>
      </x:c>
      <x:c r="F45" s="22" t="str">
        <x:v>{ status: 'served' }</x:v>
      </x:c>
      <x:c r="G45" s="22" t="str">
        <x:v>buttonText</x:v>
      </x:c>
      <x:c r="H45" s="22" t="str">
        <x:v>backgroundColor</x:v>
      </x:c>
      <x:c r="I45" s="22" t="str">
        <x:v>htmlMode</x:v>
      </x:c>
      <x:c r="J45" s="22" t="str">
        <x:v>status</x:v>
      </x:c>
      <x:c r="K45" s="27" t="n">
        <x:v>4</x:v>
      </x:c>
      <x:c r="L45" s="22" t="str">
        <x:v>status</x:v>
      </x:c>
      <x:c r="M45" s="22" t="str">
        <x:v>状態は画面表示ではなくデータとして持ちます。</x:v>
      </x:c>
      <x:c r="N45" s="22" t="str">
        <x:v>statusを保存しておくと、KDS・履歴・検索・集計で同じ状態を扱えます。表示色だけではデータ処理に使いにくくなります。</x:v>
      </x:c>
      <x:c r="O45" s="22" t="str">
        <x:v>実装判断</x:v>
      </x:c>
      <x:c r="P45" s="23" t="str">
        <x:v>status,設計,served</x:v>
      </x:c>
    </x:row>
    <x:row r="46" ht="72" customHeight="1">
      <x:c r="A46" s="21" t="str">
        <x:v>FSQ-045</x:v>
      </x:c>
      <x:c r="B46" s="22" t="str">
        <x:v>設計</x:v>
      </x:c>
      <x:c r="C46" s="22" t="str">
        <x:v>応用</x:v>
      </x:c>
      <x:c r="D46" s="22" t="str">
        <x:v>4択</x:v>
      </x:c>
      <x:c r="E46" s="22" t="str">
        <x:v>注文状態を「cancelled」として保存したい。ordersに持たせる自然なフィールド名は？</x:v>
      </x:c>
      <x:c r="F46" s="22" t="str">
        <x:v>{ status: 'cancelled' }</x:v>
      </x:c>
      <x:c r="G46" s="22" t="str">
        <x:v>status</x:v>
      </x:c>
      <x:c r="H46" s="22" t="str">
        <x:v>buttonText</x:v>
      </x:c>
      <x:c r="I46" s="22" t="str">
        <x:v>backgroundColor</x:v>
      </x:c>
      <x:c r="J46" s="22" t="str">
        <x:v>htmlMode</x:v>
      </x:c>
      <x:c r="K46" s="27" t="n">
        <x:v>1</x:v>
      </x:c>
      <x:c r="L46" s="22" t="str">
        <x:v>status</x:v>
      </x:c>
      <x:c r="M46" s="22" t="str">
        <x:v>状態は画面表示ではなくデータとして持ちます。</x:v>
      </x:c>
      <x:c r="N46" s="22" t="str">
        <x:v>statusを保存しておくと、KDS・履歴・検索・集計で同じ状態を扱えます。表示色だけではデータ処理に使いにくくなります。</x:v>
      </x:c>
      <x:c r="O46" s="22" t="str">
        <x:v>実装判断</x:v>
      </x:c>
      <x:c r="P46" s="23" t="str">
        <x:v>status,設計,cancelled</x:v>
      </x:c>
    </x:row>
    <x:row r="47" ht="72" customHeight="1">
      <x:c r="A47" s="21" t="str">
        <x:v>FSQ-046</x:v>
      </x:c>
      <x:c r="B47" s="22" t="str">
        <x:v>設計</x:v>
      </x:c>
      <x:c r="C47" s="22" t="str">
        <x:v>初級</x:v>
      </x:c>
      <x:c r="D47" s="22" t="str">
        <x:v>4択</x:v>
      </x:c>
      <x:c r="E47" s="22" t="str">
        <x:v>注文状態を「delayed」として保存したい。ordersに持たせる自然なフィールド名は？</x:v>
      </x:c>
      <x:c r="F47" s="22" t="str">
        <x:v>{ status: 'delayed' }</x:v>
      </x:c>
      <x:c r="G47" s="22" t="str">
        <x:v>buttonText</x:v>
      </x:c>
      <x:c r="H47" s="22" t="str">
        <x:v>status</x:v>
      </x:c>
      <x:c r="I47" s="22" t="str">
        <x:v>backgroundColor</x:v>
      </x:c>
      <x:c r="J47" s="22" t="str">
        <x:v>htmlMode</x:v>
      </x:c>
      <x:c r="K47" s="27" t="n">
        <x:v>2</x:v>
      </x:c>
      <x:c r="L47" s="22" t="str">
        <x:v>status</x:v>
      </x:c>
      <x:c r="M47" s="22" t="str">
        <x:v>状態は画面表示ではなくデータとして持ちます。</x:v>
      </x:c>
      <x:c r="N47" s="22" t="str">
        <x:v>statusを保存しておくと、KDS・履歴・検索・集計で同じ状態を扱えます。表示色だけではデータ処理に使いにくくなります。</x:v>
      </x:c>
      <x:c r="O47" s="22" t="str">
        <x:v>実装判断</x:v>
      </x:c>
      <x:c r="P47" s="23" t="str">
        <x:v>status,設計,delayed</x:v>
      </x:c>
    </x:row>
    <x:row r="48" ht="72" customHeight="1">
      <x:c r="A48" s="21" t="str">
        <x:v>FSQ-047</x:v>
      </x:c>
      <x:c r="B48" s="22" t="str">
        <x:v>設計</x:v>
      </x:c>
      <x:c r="C48" s="22" t="str">
        <x:v>初級</x:v>
      </x:c>
      <x:c r="D48" s="22" t="str">
        <x:v>4択</x:v>
      </x:c>
      <x:c r="E48" s="22" t="str">
        <x:v>注文状態を「merged」として保存したい。ordersに持たせる自然なフィールド名は？</x:v>
      </x:c>
      <x:c r="F48" s="22" t="str">
        <x:v>{ status: 'merged' }</x:v>
      </x:c>
      <x:c r="G48" s="22" t="str">
        <x:v>buttonText</x:v>
      </x:c>
      <x:c r="H48" s="22" t="str">
        <x:v>backgroundColor</x:v>
      </x:c>
      <x:c r="I48" s="22" t="str">
        <x:v>status</x:v>
      </x:c>
      <x:c r="J48" s="22" t="str">
        <x:v>htmlMode</x:v>
      </x:c>
      <x:c r="K48" s="27" t="n">
        <x:v>3</x:v>
      </x:c>
      <x:c r="L48" s="22" t="str">
        <x:v>status</x:v>
      </x:c>
      <x:c r="M48" s="22" t="str">
        <x:v>状態は画面表示ではなくデータとして持ちます。</x:v>
      </x:c>
      <x:c r="N48" s="22" t="str">
        <x:v>statusを保存しておくと、KDS・履歴・検索・集計で同じ状態を扱えます。表示色だけではデータ処理に使いにくくなります。</x:v>
      </x:c>
      <x:c r="O48" s="22" t="str">
        <x:v>実装判断</x:v>
      </x:c>
      <x:c r="P48" s="23" t="str">
        <x:v>status,設計,merged</x:v>
      </x:c>
    </x:row>
    <x:row r="49" ht="72" customHeight="1">
      <x:c r="A49" s="21" t="str">
        <x:v>FSQ-048</x:v>
      </x:c>
      <x:c r="B49" s="22" t="str">
        <x:v>設計</x:v>
      </x:c>
      <x:c r="C49" s="22" t="str">
        <x:v>中級</x:v>
      </x:c>
      <x:c r="D49" s="22" t="str">
        <x:v>4択</x:v>
      </x:c>
      <x:c r="E49" s="22" t="str">
        <x:v>注文状態を「moved」として保存したい。ordersに持たせる自然なフィールド名は？</x:v>
      </x:c>
      <x:c r="F49" s="22" t="str">
        <x:v>{ status: 'moved' }</x:v>
      </x:c>
      <x:c r="G49" s="22" t="str">
        <x:v>buttonText</x:v>
      </x:c>
      <x:c r="H49" s="22" t="str">
        <x:v>backgroundColor</x:v>
      </x:c>
      <x:c r="I49" s="22" t="str">
        <x:v>htmlMode</x:v>
      </x:c>
      <x:c r="J49" s="22" t="str">
        <x:v>status</x:v>
      </x:c>
      <x:c r="K49" s="27" t="n">
        <x:v>4</x:v>
      </x:c>
      <x:c r="L49" s="22" t="str">
        <x:v>status</x:v>
      </x:c>
      <x:c r="M49" s="22" t="str">
        <x:v>状態は画面表示ではなくデータとして持ちます。</x:v>
      </x:c>
      <x:c r="N49" s="22" t="str">
        <x:v>statusを保存しておくと、KDS・履歴・検索・集計で同じ状態を扱えます。表示色だけではデータ処理に使いにくくなります。</x:v>
      </x:c>
      <x:c r="O49" s="22" t="str">
        <x:v>実装判断</x:v>
      </x:c>
      <x:c r="P49" s="23" t="str">
        <x:v>status,設計,moved</x:v>
      </x:c>
    </x:row>
    <x:row r="50" ht="72" customHeight="1">
      <x:c r="A50" s="21" t="str">
        <x:v>FSQ-049</x:v>
      </x:c>
      <x:c r="B50" s="22" t="str">
        <x:v>設計</x:v>
      </x:c>
      <x:c r="C50" s="22" t="str">
        <x:v>中級</x:v>
      </x:c>
      <x:c r="D50" s="22" t="str">
        <x:v>4択</x:v>
      </x:c>
      <x:c r="E50" s="22" t="str">
        <x:v>注文状態を「hidden」として保存したい。ordersに持たせる自然なフィールド名は？</x:v>
      </x:c>
      <x:c r="F50" s="22" t="str">
        <x:v>{ status: 'hidden' }</x:v>
      </x:c>
      <x:c r="G50" s="22" t="str">
        <x:v>status</x:v>
      </x:c>
      <x:c r="H50" s="22" t="str">
        <x:v>buttonText</x:v>
      </x:c>
      <x:c r="I50" s="22" t="str">
        <x:v>backgroundColor</x:v>
      </x:c>
      <x:c r="J50" s="22" t="str">
        <x:v>htmlMode</x:v>
      </x:c>
      <x:c r="K50" s="27" t="n">
        <x:v>1</x:v>
      </x:c>
      <x:c r="L50" s="22" t="str">
        <x:v>status</x:v>
      </x:c>
      <x:c r="M50" s="22" t="str">
        <x:v>状態は画面表示ではなくデータとして持ちます。</x:v>
      </x:c>
      <x:c r="N50" s="22" t="str">
        <x:v>statusを保存しておくと、KDS・履歴・検索・集計で同じ状態を扱えます。表示色だけではデータ処理に使いにくくなります。</x:v>
      </x:c>
      <x:c r="O50" s="22" t="str">
        <x:v>実装判断</x:v>
      </x:c>
      <x:c r="P50" s="23" t="str">
        <x:v>status,設計,hidden</x:v>
      </x:c>
    </x:row>
    <x:row r="51" ht="72" customHeight="1">
      <x:c r="A51" s="21" t="str">
        <x:v>FSQ-050</x:v>
      </x:c>
      <x:c r="B51" s="22" t="str">
        <x:v>設計</x:v>
      </x:c>
      <x:c r="C51" s="22" t="str">
        <x:v>応用</x:v>
      </x:c>
      <x:c r="D51" s="22" t="str">
        <x:v>4択</x:v>
      </x:c>
      <x:c r="E51" s="22" t="str">
        <x:v>注文状態を「archived」として保存したい。ordersに持たせる自然なフィールド名は？</x:v>
      </x:c>
      <x:c r="F51" s="22" t="str">
        <x:v>{ status: 'archived' }</x:v>
      </x:c>
      <x:c r="G51" s="22" t="str">
        <x:v>buttonText</x:v>
      </x:c>
      <x:c r="H51" s="22" t="str">
        <x:v>status</x:v>
      </x:c>
      <x:c r="I51" s="22" t="str">
        <x:v>backgroundColor</x:v>
      </x:c>
      <x:c r="J51" s="22" t="str">
        <x:v>htmlMode</x:v>
      </x:c>
      <x:c r="K51" s="27" t="n">
        <x:v>2</x:v>
      </x:c>
      <x:c r="L51" s="22" t="str">
        <x:v>status</x:v>
      </x:c>
      <x:c r="M51" s="22" t="str">
        <x:v>状態は画面表示ではなくデータとして持ちます。</x:v>
      </x:c>
      <x:c r="N51" s="22" t="str">
        <x:v>statusを保存しておくと、KDS・履歴・検索・集計で同じ状態を扱えます。表示色だけではデータ処理に使いにくくなります。</x:v>
      </x:c>
      <x:c r="O51" s="22" t="str">
        <x:v>実装判断</x:v>
      </x:c>
      <x:c r="P51" s="23" t="str">
        <x:v>status,設計,archived</x:v>
      </x:c>
    </x:row>
    <x:row r="52" ht="72" customHeight="1">
      <x:c r="A52" s="21" t="str">
        <x:v>FSQ-051</x:v>
      </x:c>
      <x:c r="B52" s="22" t="str">
        <x:v>データ品質</x:v>
      </x:c>
      <x:c r="C52" s="22" t="str">
        <x:v>初級</x:v>
      </x:c>
      <x:c r="D52" s="22" t="str">
        <x:v>4択</x:v>
      </x:c>
      <x:c r="E52" s="22" t="str">
        <x:v>卓番入力「1」を保存前に正規化・検証する主な目的は？</x:v>
      </x:c>
      <x:c r="F52" s="22" t="str">
        <x:v>const normalized = normalizeTableNo(input);</x:v>
      </x:c>
      <x:c r="G52" s="22" t="str">
        <x:v>文字数を増やすため</x:v>
      </x:c>
      <x:c r="H52" s="22" t="str">
        <x:v>価格計算を省くため</x:v>
      </x:c>
      <x:c r="I52" s="22" t="str">
        <x:v>検索漏れや重複扱いのズレを防ぐため</x:v>
      </x:c>
      <x:c r="J52" s="22" t="str">
        <x:v>Firestore設定を隠すため</x:v>
      </x:c>
      <x:c r="K52" s="27" t="n">
        <x:v>3</x:v>
      </x:c>
      <x:c r="L52" s="22" t="str">
        <x:v>検索漏れや重複扱いのズレを防ぐため</x:v>
      </x:c>
      <x:c r="M52" s="22" t="str">
        <x:v>同じ席を同じ文字列として扱うことが重要です。</x:v>
      </x:c>
      <x:c r="N52" s="22" t="str">
        <x:v>01と1が混在すると、where('table','==','01')で1が取得できません。形式をそろえると検索と集計が安定します。</x:v>
      </x:c>
      <x:c r="O52" s="22" t="str">
        <x:v>弱点復習</x:v>
      </x:c>
      <x:c r="P52" s="23" t="str">
        <x:v>卓番,正規化,1</x:v>
      </x:c>
    </x:row>
    <x:row r="53" ht="72" customHeight="1">
      <x:c r="A53" s="21" t="str">
        <x:v>FSQ-052</x:v>
      </x:c>
      <x:c r="B53" s="22" t="str">
        <x:v>データ品質</x:v>
      </x:c>
      <x:c r="C53" s="22" t="str">
        <x:v>初級</x:v>
      </x:c>
      <x:c r="D53" s="22" t="str">
        <x:v>4択</x:v>
      </x:c>
      <x:c r="E53" s="22" t="str">
        <x:v>卓番入力「01」を保存前に正規化・検証する主な目的は？</x:v>
      </x:c>
      <x:c r="F53" s="22" t="str">
        <x:v>const normalized = normalizeTableNo(input);</x:v>
      </x:c>
      <x:c r="G53" s="22" t="str">
        <x:v>文字数を増やすため</x:v>
      </x:c>
      <x:c r="H53" s="22" t="str">
        <x:v>価格計算を省くため</x:v>
      </x:c>
      <x:c r="I53" s="22" t="str">
        <x:v>Firestore設定を隠すため</x:v>
      </x:c>
      <x:c r="J53" s="22" t="str">
        <x:v>検索漏れや重複扱いのズレを防ぐため</x:v>
      </x:c>
      <x:c r="K53" s="27" t="n">
        <x:v>4</x:v>
      </x:c>
      <x:c r="L53" s="22" t="str">
        <x:v>検索漏れや重複扱いのズレを防ぐため</x:v>
      </x:c>
      <x:c r="M53" s="22" t="str">
        <x:v>同じ席を同じ文字列として扱うことが重要です。</x:v>
      </x:c>
      <x:c r="N53" s="22" t="str">
        <x:v>01と1が混在すると、where('table','==','01')で1が取得できません。形式をそろえると検索と集計が安定します。</x:v>
      </x:c>
      <x:c r="O53" s="22" t="str">
        <x:v>弱点復習</x:v>
      </x:c>
      <x:c r="P53" s="23" t="str">
        <x:v>卓番,正規化,01</x:v>
      </x:c>
    </x:row>
    <x:row r="54" ht="72" customHeight="1">
      <x:c r="A54" s="21" t="str">
        <x:v>FSQ-053</x:v>
      </x:c>
      <x:c r="B54" s="22" t="str">
        <x:v>データ品質</x:v>
      </x:c>
      <x:c r="C54" s="22" t="str">
        <x:v>中級</x:v>
      </x:c>
      <x:c r="D54" s="22" t="str">
        <x:v>4択</x:v>
      </x:c>
      <x:c r="E54" s="22" t="str">
        <x:v>卓番入力「1-1」を保存前に正規化・検証する主な目的は？</x:v>
      </x:c>
      <x:c r="F54" s="22" t="str">
        <x:v>const normalized = normalizeTableNo(input);</x:v>
      </x:c>
      <x:c r="G54" s="22" t="str">
        <x:v>検索漏れや重複扱いのズレを防ぐため</x:v>
      </x:c>
      <x:c r="H54" s="22" t="str">
        <x:v>文字数を増やすため</x:v>
      </x:c>
      <x:c r="I54" s="22" t="str">
        <x:v>価格計算を省くため</x:v>
      </x:c>
      <x:c r="J54" s="22" t="str">
        <x:v>Firestore設定を隠すため</x:v>
      </x:c>
      <x:c r="K54" s="27" t="n">
        <x:v>1</x:v>
      </x:c>
      <x:c r="L54" s="22" t="str">
        <x:v>検索漏れや重複扱いのズレを防ぐため</x:v>
      </x:c>
      <x:c r="M54" s="22" t="str">
        <x:v>同じ席を同じ文字列として扱うことが重要です。</x:v>
      </x:c>
      <x:c r="N54" s="22" t="str">
        <x:v>01と1が混在すると、where('table','==','01')で1が取得できません。形式をそろえると検索と集計が安定します。</x:v>
      </x:c>
      <x:c r="O54" s="22" t="str">
        <x:v>弱点復習</x:v>
      </x:c>
      <x:c r="P54" s="23" t="str">
        <x:v>卓番,正規化,1-1</x:v>
      </x:c>
    </x:row>
    <x:row r="55" ht="72" customHeight="1">
      <x:c r="A55" s="21" t="str">
        <x:v>FSQ-054</x:v>
      </x:c>
      <x:c r="B55" s="22" t="str">
        <x:v>データ品質</x:v>
      </x:c>
      <x:c r="C55" s="22" t="str">
        <x:v>中級</x:v>
      </x:c>
      <x:c r="D55" s="22" t="str">
        <x:v>4択</x:v>
      </x:c>
      <x:c r="E55" s="22" t="str">
        <x:v>卓番入力「03-0」を保存前に正規化・検証する主な目的は？</x:v>
      </x:c>
      <x:c r="F55" s="22" t="str">
        <x:v>const normalized = normalizeTableNo(input);</x:v>
      </x:c>
      <x:c r="G55" s="22" t="str">
        <x:v>文字数を増やすため</x:v>
      </x:c>
      <x:c r="H55" s="22" t="str">
        <x:v>検索漏れや重複扱いのズレを防ぐため</x:v>
      </x:c>
      <x:c r="I55" s="22" t="str">
        <x:v>価格計算を省くため</x:v>
      </x:c>
      <x:c r="J55" s="22" t="str">
        <x:v>Firestore設定を隠すため</x:v>
      </x:c>
      <x:c r="K55" s="27" t="n">
        <x:v>2</x:v>
      </x:c>
      <x:c r="L55" s="22" t="str">
        <x:v>検索漏れや重複扱いのズレを防ぐため</x:v>
      </x:c>
      <x:c r="M55" s="22" t="str">
        <x:v>同じ席を同じ文字列として扱うことが重要です。</x:v>
      </x:c>
      <x:c r="N55" s="22" t="str">
        <x:v>01と1が混在すると、where('table','==','01')で1が取得できません。形式をそろえると検索と集計が安定します。</x:v>
      </x:c>
      <x:c r="O55" s="22" t="str">
        <x:v>弱点復習</x:v>
      </x:c>
      <x:c r="P55" s="23" t="str">
        <x:v>卓番,正規化,03-0</x:v>
      </x:c>
    </x:row>
    <x:row r="56" ht="72" customHeight="1">
      <x:c r="A56" s="21" t="str">
        <x:v>FSQ-055</x:v>
      </x:c>
      <x:c r="B56" s="22" t="str">
        <x:v>データ品質</x:v>
      </x:c>
      <x:c r="C56" s="22" t="str">
        <x:v>応用</x:v>
      </x:c>
      <x:c r="D56" s="22" t="str">
        <x:v>4択</x:v>
      </x:c>
      <x:c r="E56" s="22" t="str">
        <x:v>卓番入力「003」を保存前に正規化・検証する主な目的は？</x:v>
      </x:c>
      <x:c r="F56" s="22" t="str">
        <x:v>const normalized = normalizeTableNo(input);</x:v>
      </x:c>
      <x:c r="G56" s="22" t="str">
        <x:v>文字数を増やすため</x:v>
      </x:c>
      <x:c r="H56" s="22" t="str">
        <x:v>価格計算を省くため</x:v>
      </x:c>
      <x:c r="I56" s="22" t="str">
        <x:v>検索漏れや重複扱いのズレを防ぐため</x:v>
      </x:c>
      <x:c r="J56" s="22" t="str">
        <x:v>Firestore設定を隠すため</x:v>
      </x:c>
      <x:c r="K56" s="27" t="n">
        <x:v>3</x:v>
      </x:c>
      <x:c r="L56" s="22" t="str">
        <x:v>検索漏れや重複扱いのズレを防ぐため</x:v>
      </x:c>
      <x:c r="M56" s="22" t="str">
        <x:v>同じ席を同じ文字列として扱うことが重要です。</x:v>
      </x:c>
      <x:c r="N56" s="22" t="str">
        <x:v>01と1が混在すると、where('table','==','01')で1が取得できません。形式をそろえると検索と集計が安定します。</x:v>
      </x:c>
      <x:c r="O56" s="22" t="str">
        <x:v>弱点復習</x:v>
      </x:c>
      <x:c r="P56" s="23" t="str">
        <x:v>卓番,正規化,003</x:v>
      </x:c>
    </x:row>
    <x:row r="57" ht="72" customHeight="1">
      <x:c r="A57" s="21" t="str">
        <x:v>FSQ-056</x:v>
      </x:c>
      <x:c r="B57" s="22" t="str">
        <x:v>データ品質</x:v>
      </x:c>
      <x:c r="C57" s="22" t="str">
        <x:v>初級</x:v>
      </x:c>
      <x:c r="D57" s="22" t="str">
        <x:v>4択</x:v>
      </x:c>
      <x:c r="E57" s="22" t="str">
        <x:v>卓番入力「09-01」を保存前に正規化・検証する主な目的は？</x:v>
      </x:c>
      <x:c r="F57" s="22" t="str">
        <x:v>const normalized = normalizeTableNo(input);</x:v>
      </x:c>
      <x:c r="G57" s="22" t="str">
        <x:v>文字数を増やすため</x:v>
      </x:c>
      <x:c r="H57" s="22" t="str">
        <x:v>価格計算を省くため</x:v>
      </x:c>
      <x:c r="I57" s="22" t="str">
        <x:v>Firestore設定を隠すため</x:v>
      </x:c>
      <x:c r="J57" s="22" t="str">
        <x:v>検索漏れや重複扱いのズレを防ぐため</x:v>
      </x:c>
      <x:c r="K57" s="27" t="n">
        <x:v>4</x:v>
      </x:c>
      <x:c r="L57" s="22" t="str">
        <x:v>検索漏れや重複扱いのズレを防ぐため</x:v>
      </x:c>
      <x:c r="M57" s="22" t="str">
        <x:v>同じ席を同じ文字列として扱うことが重要です。</x:v>
      </x:c>
      <x:c r="N57" s="22" t="str">
        <x:v>01と1が混在すると、where('table','==','01')で1が取得できません。形式をそろえると検索と集計が安定します。</x:v>
      </x:c>
      <x:c r="O57" s="22" t="str">
        <x:v>弱点復習</x:v>
      </x:c>
      <x:c r="P57" s="23" t="str">
        <x:v>卓番,正規化,09-01</x:v>
      </x:c>
    </x:row>
    <x:row r="58" ht="72" customHeight="1">
      <x:c r="A58" s="21" t="str">
        <x:v>FSQ-057</x:v>
      </x:c>
      <x:c r="B58" s="22" t="str">
        <x:v>データ品質</x:v>
      </x:c>
      <x:c r="C58" s="22" t="str">
        <x:v>初級</x:v>
      </x:c>
      <x:c r="D58" s="22" t="str">
        <x:v>4択</x:v>
      </x:c>
      <x:c r="E58" s="22" t="str">
        <x:v>卓番入力「99」を保存前に正規化・検証する主な目的は？</x:v>
      </x:c>
      <x:c r="F58" s="22" t="str">
        <x:v>const normalized = normalizeTableNo(input);</x:v>
      </x:c>
      <x:c r="G58" s="22" t="str">
        <x:v>検索漏れや重複扱いのズレを防ぐため</x:v>
      </x:c>
      <x:c r="H58" s="22" t="str">
        <x:v>文字数を増やすため</x:v>
      </x:c>
      <x:c r="I58" s="22" t="str">
        <x:v>価格計算を省くため</x:v>
      </x:c>
      <x:c r="J58" s="22" t="str">
        <x:v>Firestore設定を隠すため</x:v>
      </x:c>
      <x:c r="K58" s="27" t="n">
        <x:v>1</x:v>
      </x:c>
      <x:c r="L58" s="22" t="str">
        <x:v>検索漏れや重複扱いのズレを防ぐため</x:v>
      </x:c>
      <x:c r="M58" s="22" t="str">
        <x:v>同じ席を同じ文字列として扱うことが重要です。</x:v>
      </x:c>
      <x:c r="N58" s="22" t="str">
        <x:v>01と1が混在すると、where('table','==','01')で1が取得できません。形式をそろえると検索と集計が安定します。</x:v>
      </x:c>
      <x:c r="O58" s="22" t="str">
        <x:v>弱点復習</x:v>
      </x:c>
      <x:c r="P58" s="23" t="str">
        <x:v>卓番,正規化,99</x:v>
      </x:c>
    </x:row>
    <x:row r="59" ht="72" customHeight="1">
      <x:c r="A59" s="21" t="str">
        <x:v>FSQ-058</x:v>
      </x:c>
      <x:c r="B59" s="22" t="str">
        <x:v>データ品質</x:v>
      </x:c>
      <x:c r="C59" s="22" t="str">
        <x:v>中級</x:v>
      </x:c>
      <x:c r="D59" s="22" t="str">
        <x:v>4択</x:v>
      </x:c>
      <x:c r="E59" s="22" t="str">
        <x:v>卓番入力「100」を保存前に正規化・検証する主な目的は？</x:v>
      </x:c>
      <x:c r="F59" s="22" t="str">
        <x:v>const normalized = normalizeTableNo(input);</x:v>
      </x:c>
      <x:c r="G59" s="22" t="str">
        <x:v>文字数を増やすため</x:v>
      </x:c>
      <x:c r="H59" s="22" t="str">
        <x:v>検索漏れや重複扱いのズレを防ぐため</x:v>
      </x:c>
      <x:c r="I59" s="22" t="str">
        <x:v>価格計算を省くため</x:v>
      </x:c>
      <x:c r="J59" s="22" t="str">
        <x:v>Firestore設定を隠すため</x:v>
      </x:c>
      <x:c r="K59" s="27" t="n">
        <x:v>2</x:v>
      </x:c>
      <x:c r="L59" s="22" t="str">
        <x:v>検索漏れや重複扱いのズレを防ぐため</x:v>
      </x:c>
      <x:c r="M59" s="22" t="str">
        <x:v>同じ席を同じ文字列として扱うことが重要です。</x:v>
      </x:c>
      <x:c r="N59" s="22" t="str">
        <x:v>01と1が混在すると、where('table','==','01')で1が取得できません。形式をそろえると検索と集計が安定します。</x:v>
      </x:c>
      <x:c r="O59" s="22" t="str">
        <x:v>弱点復習</x:v>
      </x:c>
      <x:c r="P59" s="23" t="str">
        <x:v>卓番,正規化,100</x:v>
      </x:c>
    </x:row>
    <x:row r="60" ht="72" customHeight="1">
      <x:c r="A60" s="21" t="str">
        <x:v>FSQ-059</x:v>
      </x:c>
      <x:c r="B60" s="22" t="str">
        <x:v>データ品質</x:v>
      </x:c>
      <x:c r="C60" s="22" t="str">
        <x:v>中級</x:v>
      </x:c>
      <x:c r="D60" s="22" t="str">
        <x:v>4択</x:v>
      </x:c>
      <x:c r="E60" s="22" t="str">
        <x:v>卓番入力「A1」を保存前に正規化・検証する主な目的は？</x:v>
      </x:c>
      <x:c r="F60" s="22" t="str">
        <x:v>const normalized = normalizeTableNo(input);</x:v>
      </x:c>
      <x:c r="G60" s="22" t="str">
        <x:v>文字数を増やすため</x:v>
      </x:c>
      <x:c r="H60" s="22" t="str">
        <x:v>価格計算を省くため</x:v>
      </x:c>
      <x:c r="I60" s="22" t="str">
        <x:v>検索漏れや重複扱いのズレを防ぐため</x:v>
      </x:c>
      <x:c r="J60" s="22" t="str">
        <x:v>Firestore設定を隠すため</x:v>
      </x:c>
      <x:c r="K60" s="27" t="n">
        <x:v>3</x:v>
      </x:c>
      <x:c r="L60" s="22" t="str">
        <x:v>検索漏れや重複扱いのズレを防ぐため</x:v>
      </x:c>
      <x:c r="M60" s="22" t="str">
        <x:v>同じ席を同じ文字列として扱うことが重要です。</x:v>
      </x:c>
      <x:c r="N60" s="22" t="str">
        <x:v>01と1が混在すると、where('table','==','01')で1が取得できません。形式をそろえると検索と集計が安定します。</x:v>
      </x:c>
      <x:c r="O60" s="22" t="str">
        <x:v>弱点復習</x:v>
      </x:c>
      <x:c r="P60" s="23" t="str">
        <x:v>卓番,正規化,A1</x:v>
      </x:c>
    </x:row>
    <x:row r="61" ht="72" customHeight="1">
      <x:c r="A61" s="21" t="str">
        <x:v>FSQ-060</x:v>
      </x:c>
      <x:c r="B61" s="22" t="str">
        <x:v>データ品質</x:v>
      </x:c>
      <x:c r="C61" s="22" t="str">
        <x:v>応用</x:v>
      </x:c>
      <x:c r="D61" s="22" t="str">
        <x:v>4択</x:v>
      </x:c>
      <x:c r="E61" s="22" t="str">
        <x:v>卓番入力「02-2」を保存前に正規化・検証する主な目的は？</x:v>
      </x:c>
      <x:c r="F61" s="22" t="str">
        <x:v>const normalized = normalizeTableNo(input);</x:v>
      </x:c>
      <x:c r="G61" s="22" t="str">
        <x:v>文字数を増やすため</x:v>
      </x:c>
      <x:c r="H61" s="22" t="str">
        <x:v>価格計算を省くため</x:v>
      </x:c>
      <x:c r="I61" s="22" t="str">
        <x:v>Firestore設定を隠すため</x:v>
      </x:c>
      <x:c r="J61" s="22" t="str">
        <x:v>検索漏れや重複扱いのズレを防ぐため</x:v>
      </x:c>
      <x:c r="K61" s="27" t="n">
        <x:v>4</x:v>
      </x:c>
      <x:c r="L61" s="22" t="str">
        <x:v>検索漏れや重複扱いのズレを防ぐため</x:v>
      </x:c>
      <x:c r="M61" s="22" t="str">
        <x:v>同じ席を同じ文字列として扱うことが重要です。</x:v>
      </x:c>
      <x:c r="N61" s="22" t="str">
        <x:v>01と1が混在すると、where('table','==','01')で1が取得できません。形式をそろえると検索と集計が安定します。</x:v>
      </x:c>
      <x:c r="O61" s="22" t="str">
        <x:v>弱点復習</x:v>
      </x:c>
      <x:c r="P61" s="23" t="str">
        <x:v>卓番,正規化,02-2</x:v>
      </x:c>
    </x:row>
    <x:row r="62" ht="72" customHeight="1">
      <x:c r="A62" s="21" t="str">
        <x:v>FSQ-061</x:v>
      </x:c>
      <x:c r="B62" s="22" t="str">
        <x:v>時刻</x:v>
      </x:c>
      <x:c r="C62" s="22" t="str">
        <x:v>初級</x:v>
      </x:c>
      <x:c r="D62" s="22" t="str">
        <x:v>4択</x:v>
      </x:c>
      <x:c r="E62" s="22" t="str">
        <x:v>注文追加の時刻を端末時計ではなくFirestore側の時刻で保存したい。使う値は？</x:v>
      </x:c>
      <x:c r="F62" s="22" t="str">
        <x:v>{ updatedAt: serverTimestamp() }</x:v>
      </x:c>
      <x:c r="G62" s="22" t="str">
        <x:v>serverTimestamp()</x:v>
      </x:c>
      <x:c r="H62" s="22" t="str">
        <x:v>Date.now()だけ</x:v>
      </x:c>
      <x:c r="I62" s="22" t="str">
        <x:v>Math.random()</x:v>
      </x:c>
      <x:c r="J62" s="22" t="str">
        <x:v>document.title</x:v>
      </x:c>
      <x:c r="K62" s="27" t="n">
        <x:v>1</x:v>
      </x:c>
      <x:c r="L62" s="22" t="str">
        <x:v>serverTimestamp()</x:v>
      </x:c>
      <x:c r="M62" s="22" t="str">
        <x:v>サーバー側で確定する時刻を使います。</x:v>
      </x:c>
      <x:c r="N62" s="22" t="str">
        <x:v>端末の時計は利用者ごとにズレる可能性があります。serverTimestamp()を使うとFirestore側の基準で時刻を保存できます。</x:v>
      </x:c>
      <x:c r="O62" s="22" t="str">
        <x:v>日替わり</x:v>
      </x:c>
      <x:c r="P62" s="23" t="str">
        <x:v>serverTimestamp,注文追加,時刻</x:v>
      </x:c>
    </x:row>
    <x:row r="63" ht="72" customHeight="1">
      <x:c r="A63" s="21" t="str">
        <x:v>FSQ-062</x:v>
      </x:c>
      <x:c r="B63" s="22" t="str">
        <x:v>時刻</x:v>
      </x:c>
      <x:c r="C63" s="22" t="str">
        <x:v>初級</x:v>
      </x:c>
      <x:c r="D63" s="22" t="str">
        <x:v>4択</x:v>
      </x:c>
      <x:c r="E63" s="22" t="str">
        <x:v>注文修正の時刻を端末時計ではなくFirestore側の時刻で保存したい。使う値は？</x:v>
      </x:c>
      <x:c r="F63" s="22" t="str">
        <x:v>{ updatedAt: serverTimestamp() }</x:v>
      </x:c>
      <x:c r="G63" s="22" t="str">
        <x:v>Date.now()だけ</x:v>
      </x:c>
      <x:c r="H63" s="22" t="str">
        <x:v>serverTimestamp()</x:v>
      </x:c>
      <x:c r="I63" s="22" t="str">
        <x:v>Math.random()</x:v>
      </x:c>
      <x:c r="J63" s="22" t="str">
        <x:v>document.title</x:v>
      </x:c>
      <x:c r="K63" s="27" t="n">
        <x:v>2</x:v>
      </x:c>
      <x:c r="L63" s="22" t="str">
        <x:v>serverTimestamp()</x:v>
      </x:c>
      <x:c r="M63" s="22" t="str">
        <x:v>サーバー側で確定する時刻を使います。</x:v>
      </x:c>
      <x:c r="N63" s="22" t="str">
        <x:v>端末の時計は利用者ごとにズレる可能性があります。serverTimestamp()を使うとFirestore側の基準で時刻を保存できます。</x:v>
      </x:c>
      <x:c r="O63" s="22" t="str">
        <x:v>日替わり</x:v>
      </x:c>
      <x:c r="P63" s="23" t="str">
        <x:v>serverTimestamp,注文修正,時刻</x:v>
      </x:c>
    </x:row>
    <x:row r="64" ht="72" customHeight="1">
      <x:c r="A64" s="21" t="str">
        <x:v>FSQ-063</x:v>
      </x:c>
      <x:c r="B64" s="22" t="str">
        <x:v>時刻</x:v>
      </x:c>
      <x:c r="C64" s="22" t="str">
        <x:v>中級</x:v>
      </x:c>
      <x:c r="D64" s="22" t="str">
        <x:v>4択</x:v>
      </x:c>
      <x:c r="E64" s="22" t="str">
        <x:v>提供完了の時刻を端末時計ではなくFirestore側の時刻で保存したい。使う値は？</x:v>
      </x:c>
      <x:c r="F64" s="22" t="str">
        <x:v>{ updatedAt: serverTimestamp() }</x:v>
      </x:c>
      <x:c r="G64" s="22" t="str">
        <x:v>Date.now()だけ</x:v>
      </x:c>
      <x:c r="H64" s="22" t="str">
        <x:v>Math.random()</x:v>
      </x:c>
      <x:c r="I64" s="22" t="str">
        <x:v>serverTimestamp()</x:v>
      </x:c>
      <x:c r="J64" s="22" t="str">
        <x:v>document.title</x:v>
      </x:c>
      <x:c r="K64" s="27" t="n">
        <x:v>3</x:v>
      </x:c>
      <x:c r="L64" s="22" t="str">
        <x:v>serverTimestamp()</x:v>
      </x:c>
      <x:c r="M64" s="22" t="str">
        <x:v>サーバー側で確定する時刻を使います。</x:v>
      </x:c>
      <x:c r="N64" s="22" t="str">
        <x:v>端末の時計は利用者ごとにズレる可能性があります。serverTimestamp()を使うとFirestore側の基準で時刻を保存できます。</x:v>
      </x:c>
      <x:c r="O64" s="22" t="str">
        <x:v>日替わり</x:v>
      </x:c>
      <x:c r="P64" s="23" t="str">
        <x:v>serverTimestamp,提供完了,時刻</x:v>
      </x:c>
    </x:row>
    <x:row r="65" ht="72" customHeight="1">
      <x:c r="A65" s="21" t="str">
        <x:v>FSQ-064</x:v>
      </x:c>
      <x:c r="B65" s="22" t="str">
        <x:v>時刻</x:v>
      </x:c>
      <x:c r="C65" s="22" t="str">
        <x:v>中級</x:v>
      </x:c>
      <x:c r="D65" s="22" t="str">
        <x:v>4択</x:v>
      </x:c>
      <x:c r="E65" s="22" t="str">
        <x:v>商品キャンセルの時刻を端末時計ではなくFirestore側の時刻で保存したい。使う値は？</x:v>
      </x:c>
      <x:c r="F65" s="22" t="str">
        <x:v>{ updatedAt: serverTimestamp() }</x:v>
      </x:c>
      <x:c r="G65" s="22" t="str">
        <x:v>Date.now()だけ</x:v>
      </x:c>
      <x:c r="H65" s="22" t="str">
        <x:v>Math.random()</x:v>
      </x:c>
      <x:c r="I65" s="22" t="str">
        <x:v>document.title</x:v>
      </x:c>
      <x:c r="J65" s="22" t="str">
        <x:v>serverTimestamp()</x:v>
      </x:c>
      <x:c r="K65" s="27" t="n">
        <x:v>4</x:v>
      </x:c>
      <x:c r="L65" s="22" t="str">
        <x:v>serverTimestamp()</x:v>
      </x:c>
      <x:c r="M65" s="22" t="str">
        <x:v>サーバー側で確定する時刻を使います。</x:v>
      </x:c>
      <x:c r="N65" s="22" t="str">
        <x:v>端末の時計は利用者ごとにズレる可能性があります。serverTimestamp()を使うとFirestore側の基準で時刻を保存できます。</x:v>
      </x:c>
      <x:c r="O65" s="22" t="str">
        <x:v>日替わり</x:v>
      </x:c>
      <x:c r="P65" s="23" t="str">
        <x:v>serverTimestamp,商品キャンセル,時刻</x:v>
      </x:c>
    </x:row>
    <x:row r="66" ht="72" customHeight="1">
      <x:c r="A66" s="21" t="str">
        <x:v>FSQ-065</x:v>
      </x:c>
      <x:c r="B66" s="22" t="str">
        <x:v>時刻</x:v>
      </x:c>
      <x:c r="C66" s="22" t="str">
        <x:v>応用</x:v>
      </x:c>
      <x:c r="D66" s="22" t="str">
        <x:v>4択</x:v>
      </x:c>
      <x:c r="E66" s="22" t="str">
        <x:v>合算の時刻を端末時計ではなくFirestore側の時刻で保存したい。使う値は？</x:v>
      </x:c>
      <x:c r="F66" s="22" t="str">
        <x:v>{ updatedAt: serverTimestamp() }</x:v>
      </x:c>
      <x:c r="G66" s="22" t="str">
        <x:v>serverTimestamp()</x:v>
      </x:c>
      <x:c r="H66" s="22" t="str">
        <x:v>Date.now()だけ</x:v>
      </x:c>
      <x:c r="I66" s="22" t="str">
        <x:v>Math.random()</x:v>
      </x:c>
      <x:c r="J66" s="22" t="str">
        <x:v>document.title</x:v>
      </x:c>
      <x:c r="K66" s="27" t="n">
        <x:v>1</x:v>
      </x:c>
      <x:c r="L66" s="22" t="str">
        <x:v>serverTimestamp()</x:v>
      </x:c>
      <x:c r="M66" s="22" t="str">
        <x:v>サーバー側で確定する時刻を使います。</x:v>
      </x:c>
      <x:c r="N66" s="22" t="str">
        <x:v>端末の時計は利用者ごとにズレる可能性があります。serverTimestamp()を使うとFirestore側の基準で時刻を保存できます。</x:v>
      </x:c>
      <x:c r="O66" s="22" t="str">
        <x:v>日替わり</x:v>
      </x:c>
      <x:c r="P66" s="23" t="str">
        <x:v>serverTimestamp,合算,時刻</x:v>
      </x:c>
    </x:row>
    <x:row r="67" ht="72" customHeight="1">
      <x:c r="A67" s="21" t="str">
        <x:v>FSQ-066</x:v>
      </x:c>
      <x:c r="B67" s="22" t="str">
        <x:v>時刻</x:v>
      </x:c>
      <x:c r="C67" s="22" t="str">
        <x:v>初級</x:v>
      </x:c>
      <x:c r="D67" s="22" t="str">
        <x:v>4択</x:v>
      </x:c>
      <x:c r="E67" s="22" t="str">
        <x:v>テーブル変更の時刻を端末時計ではなくFirestore側の時刻で保存したい。使う値は？</x:v>
      </x:c>
      <x:c r="F67" s="22" t="str">
        <x:v>{ updatedAt: serverTimestamp() }</x:v>
      </x:c>
      <x:c r="G67" s="22" t="str">
        <x:v>Date.now()だけ</x:v>
      </x:c>
      <x:c r="H67" s="22" t="str">
        <x:v>serverTimestamp()</x:v>
      </x:c>
      <x:c r="I67" s="22" t="str">
        <x:v>Math.random()</x:v>
      </x:c>
      <x:c r="J67" s="22" t="str">
        <x:v>document.title</x:v>
      </x:c>
      <x:c r="K67" s="27" t="n">
        <x:v>2</x:v>
      </x:c>
      <x:c r="L67" s="22" t="str">
        <x:v>serverTimestamp()</x:v>
      </x:c>
      <x:c r="M67" s="22" t="str">
        <x:v>サーバー側で確定する時刻を使います。</x:v>
      </x:c>
      <x:c r="N67" s="22" t="str">
        <x:v>端末の時計は利用者ごとにズレる可能性があります。serverTimestamp()を使うとFirestore側の基準で時刻を保存できます。</x:v>
      </x:c>
      <x:c r="O67" s="22" t="str">
        <x:v>日替わり</x:v>
      </x:c>
      <x:c r="P67" s="23" t="str">
        <x:v>serverTimestamp,テーブル変更,時刻</x:v>
      </x:c>
    </x:row>
    <x:row r="68" ht="72" customHeight="1">
      <x:c r="A68" s="21" t="str">
        <x:v>FSQ-067</x:v>
      </x:c>
      <x:c r="B68" s="22" t="str">
        <x:v>時刻</x:v>
      </x:c>
      <x:c r="C68" s="22" t="str">
        <x:v>初級</x:v>
      </x:c>
      <x:c r="D68" s="22" t="str">
        <x:v>4択</x:v>
      </x:c>
      <x:c r="E68" s="22" t="str">
        <x:v>調理開始の時刻を端末時計ではなくFirestore側の時刻で保存したい。使う値は？</x:v>
      </x:c>
      <x:c r="F68" s="22" t="str">
        <x:v>{ updatedAt: serverTimestamp() }</x:v>
      </x:c>
      <x:c r="G68" s="22" t="str">
        <x:v>Date.now()だけ</x:v>
      </x:c>
      <x:c r="H68" s="22" t="str">
        <x:v>Math.random()</x:v>
      </x:c>
      <x:c r="I68" s="22" t="str">
        <x:v>serverTimestamp()</x:v>
      </x:c>
      <x:c r="J68" s="22" t="str">
        <x:v>document.title</x:v>
      </x:c>
      <x:c r="K68" s="27" t="n">
        <x:v>3</x:v>
      </x:c>
      <x:c r="L68" s="22" t="str">
        <x:v>serverTimestamp()</x:v>
      </x:c>
      <x:c r="M68" s="22" t="str">
        <x:v>サーバー側で確定する時刻を使います。</x:v>
      </x:c>
      <x:c r="N68" s="22" t="str">
        <x:v>端末の時計は利用者ごとにズレる可能性があります。serverTimestamp()を使うとFirestore側の基準で時刻を保存できます。</x:v>
      </x:c>
      <x:c r="O68" s="22" t="str">
        <x:v>日替わり</x:v>
      </x:c>
      <x:c r="P68" s="23" t="str">
        <x:v>serverTimestamp,調理開始,時刻</x:v>
      </x:c>
    </x:row>
    <x:row r="69" ht="72" customHeight="1">
      <x:c r="A69" s="21" t="str">
        <x:v>FSQ-068</x:v>
      </x:c>
      <x:c r="B69" s="22" t="str">
        <x:v>時刻</x:v>
      </x:c>
      <x:c r="C69" s="22" t="str">
        <x:v>中級</x:v>
      </x:c>
      <x:c r="D69" s="22" t="str">
        <x:v>4択</x:v>
      </x:c>
      <x:c r="E69" s="22" t="str">
        <x:v>調理完了の時刻を端末時計ではなくFirestore側の時刻で保存したい。使う値は？</x:v>
      </x:c>
      <x:c r="F69" s="22" t="str">
        <x:v>{ updatedAt: serverTimestamp() }</x:v>
      </x:c>
      <x:c r="G69" s="22" t="str">
        <x:v>Date.now()だけ</x:v>
      </x:c>
      <x:c r="H69" s="22" t="str">
        <x:v>Math.random()</x:v>
      </x:c>
      <x:c r="I69" s="22" t="str">
        <x:v>document.title</x:v>
      </x:c>
      <x:c r="J69" s="22" t="str">
        <x:v>serverTimestamp()</x:v>
      </x:c>
      <x:c r="K69" s="27" t="n">
        <x:v>4</x:v>
      </x:c>
      <x:c r="L69" s="22" t="str">
        <x:v>serverTimestamp()</x:v>
      </x:c>
      <x:c r="M69" s="22" t="str">
        <x:v>サーバー側で確定する時刻を使います。</x:v>
      </x:c>
      <x:c r="N69" s="22" t="str">
        <x:v>端末の時計は利用者ごとにズレる可能性があります。serverTimestamp()を使うとFirestore側の基準で時刻を保存できます。</x:v>
      </x:c>
      <x:c r="O69" s="22" t="str">
        <x:v>日替わり</x:v>
      </x:c>
      <x:c r="P69" s="23" t="str">
        <x:v>serverTimestamp,調理完了,時刻</x:v>
      </x:c>
    </x:row>
    <x:row r="70" ht="72" customHeight="1">
      <x:c r="A70" s="21" t="str">
        <x:v>FSQ-069</x:v>
      </x:c>
      <x:c r="B70" s="22" t="str">
        <x:v>時刻</x:v>
      </x:c>
      <x:c r="C70" s="22" t="str">
        <x:v>中級</x:v>
      </x:c>
      <x:c r="D70" s="22" t="str">
        <x:v>4択</x:v>
      </x:c>
      <x:c r="E70" s="22" t="str">
        <x:v>担当者切替の時刻を端末時計ではなくFirestore側の時刻で保存したい。使う値は？</x:v>
      </x:c>
      <x:c r="F70" s="22" t="str">
        <x:v>{ updatedAt: serverTimestamp() }</x:v>
      </x:c>
      <x:c r="G70" s="22" t="str">
        <x:v>serverTimestamp()</x:v>
      </x:c>
      <x:c r="H70" s="22" t="str">
        <x:v>Date.now()だけ</x:v>
      </x:c>
      <x:c r="I70" s="22" t="str">
        <x:v>Math.random()</x:v>
      </x:c>
      <x:c r="J70" s="22" t="str">
        <x:v>document.title</x:v>
      </x:c>
      <x:c r="K70" s="27" t="n">
        <x:v>1</x:v>
      </x:c>
      <x:c r="L70" s="22" t="str">
        <x:v>serverTimestamp()</x:v>
      </x:c>
      <x:c r="M70" s="22" t="str">
        <x:v>サーバー側で確定する時刻を使います。</x:v>
      </x:c>
      <x:c r="N70" s="22" t="str">
        <x:v>端末の時計は利用者ごとにズレる可能性があります。serverTimestamp()を使うとFirestore側の基準で時刻を保存できます。</x:v>
      </x:c>
      <x:c r="O70" s="22" t="str">
        <x:v>日替わり</x:v>
      </x:c>
      <x:c r="P70" s="23" t="str">
        <x:v>serverTimestamp,担当者切替,時刻</x:v>
      </x:c>
    </x:row>
    <x:row r="71" ht="72" customHeight="1">
      <x:c r="A71" s="21" t="str">
        <x:v>FSQ-070</x:v>
      </x:c>
      <x:c r="B71" s="22" t="str">
        <x:v>時刻</x:v>
      </x:c>
      <x:c r="C71" s="22" t="str">
        <x:v>応用</x:v>
      </x:c>
      <x:c r="D71" s="22" t="str">
        <x:v>4択</x:v>
      </x:c>
      <x:c r="E71" s="22" t="str">
        <x:v>人数登録の時刻を端末時計ではなくFirestore側の時刻で保存したい。使う値は？</x:v>
      </x:c>
      <x:c r="F71" s="22" t="str">
        <x:v>{ updatedAt: serverTimestamp() }</x:v>
      </x:c>
      <x:c r="G71" s="22" t="str">
        <x:v>Date.now()だけ</x:v>
      </x:c>
      <x:c r="H71" s="22" t="str">
        <x:v>serverTimestamp()</x:v>
      </x:c>
      <x:c r="I71" s="22" t="str">
        <x:v>Math.random()</x:v>
      </x:c>
      <x:c r="J71" s="22" t="str">
        <x:v>document.title</x:v>
      </x:c>
      <x:c r="K71" s="27" t="n">
        <x:v>2</x:v>
      </x:c>
      <x:c r="L71" s="22" t="str">
        <x:v>serverTimestamp()</x:v>
      </x:c>
      <x:c r="M71" s="22" t="str">
        <x:v>サーバー側で確定する時刻を使います。</x:v>
      </x:c>
      <x:c r="N71" s="22" t="str">
        <x:v>端末の時計は利用者ごとにズレる可能性があります。serverTimestamp()を使うとFirestore側の基準で時刻を保存できます。</x:v>
      </x:c>
      <x:c r="O71" s="22" t="str">
        <x:v>日替わり</x:v>
      </x:c>
      <x:c r="P71" s="23" t="str">
        <x:v>serverTimestamp,人数登録,時刻</x:v>
      </x:c>
    </x:row>
    <x:row r="72" ht="72" customHeight="1">
      <x:c r="A72" s="21" t="str">
        <x:v>FSQ-071</x:v>
      </x:c>
      <x:c r="B72" s="22" t="str">
        <x:v>リアルタイム</x:v>
      </x:c>
      <x:c r="C72" s="22" t="str">
        <x:v>初級</x:v>
      </x:c>
      <x:c r="D72" s="22" t="str">
        <x:v>4択</x:v>
      </x:c>
      <x:c r="E72" s="22" t="str">
        <x:v>KDS注文一覧を他端末の変更に合わせて自動更新したい。向いているFirestore APIは？</x:v>
      </x:c>
      <x:c r="F72" s="22" t="str">
        <x:v>const unsub = onSnapshot(q, snapshot =&gt; { ... });</x:v>
      </x:c>
      <x:c r="G72" s="22" t="str">
        <x:v>getDocs</x:v>
      </x:c>
      <x:c r="H72" s="22" t="str">
        <x:v>deleteDoc</x:v>
      </x:c>
      <x:c r="I72" s="22" t="str">
        <x:v>onSnapshot</x:v>
      </x:c>
      <x:c r="J72" s="22" t="str">
        <x:v>parseInt</x:v>
      </x:c>
      <x:c r="K72" s="27" t="n">
        <x:v>3</x:v>
      </x:c>
      <x:c r="L72" s="22" t="str">
        <x:v>onSnapshot</x:v>
      </x:c>
      <x:c r="M72" s="22" t="str">
        <x:v>変更を監視するAPIです。</x:v>
      </x:c>
      <x:c r="N72" s="22" t="str">
        <x:v>onSnapshotは初回取得に加えて、その後の追加・変更・削除を購読できます。一度だけ読むならgetDocsが向いています。</x:v>
      </x:c>
      <x:c r="O72" s="22" t="str">
        <x:v>実装判断</x:v>
      </x:c>
      <x:c r="P72" s="23" t="str">
        <x:v>onSnapshot,KDS注文一覧,リアルタイム</x:v>
      </x:c>
    </x:row>
    <x:row r="73" ht="72" customHeight="1">
      <x:c r="A73" s="21" t="str">
        <x:v>FSQ-072</x:v>
      </x:c>
      <x:c r="B73" s="22" t="str">
        <x:v>リアルタイム</x:v>
      </x:c>
      <x:c r="C73" s="22" t="str">
        <x:v>初級</x:v>
      </x:c>
      <x:c r="D73" s="22" t="str">
        <x:v>4択</x:v>
      </x:c>
      <x:c r="E73" s="22" t="str">
        <x:v>提供待ち一覧を他端末の変更に合わせて自動更新したい。向いているFirestore APIは？</x:v>
      </x:c>
      <x:c r="F73" s="22" t="str">
        <x:v>const unsub = onSnapshot(q, snapshot =&gt; { ... });</x:v>
      </x:c>
      <x:c r="G73" s="22" t="str">
        <x:v>getDocs</x:v>
      </x:c>
      <x:c r="H73" s="22" t="str">
        <x:v>deleteDoc</x:v>
      </x:c>
      <x:c r="I73" s="22" t="str">
        <x:v>parseInt</x:v>
      </x:c>
      <x:c r="J73" s="22" t="str">
        <x:v>onSnapshot</x:v>
      </x:c>
      <x:c r="K73" s="27" t="n">
        <x:v>4</x:v>
      </x:c>
      <x:c r="L73" s="22" t="str">
        <x:v>onSnapshot</x:v>
      </x:c>
      <x:c r="M73" s="22" t="str">
        <x:v>変更を監視するAPIです。</x:v>
      </x:c>
      <x:c r="N73" s="22" t="str">
        <x:v>onSnapshotは初回取得に加えて、その後の追加・変更・削除を購読できます。一度だけ読むならgetDocsが向いています。</x:v>
      </x:c>
      <x:c r="O73" s="22" t="str">
        <x:v>実装判断</x:v>
      </x:c>
      <x:c r="P73" s="23" t="str">
        <x:v>onSnapshot,提供待ち一覧,リアルタイム</x:v>
      </x:c>
    </x:row>
    <x:row r="74" ht="72" customHeight="1">
      <x:c r="A74" s="21" t="str">
        <x:v>FSQ-073</x:v>
      </x:c>
      <x:c r="B74" s="22" t="str">
        <x:v>リアルタイム</x:v>
      </x:c>
      <x:c r="C74" s="22" t="str">
        <x:v>中級</x:v>
      </x:c>
      <x:c r="D74" s="22" t="str">
        <x:v>4択</x:v>
      </x:c>
      <x:c r="E74" s="22" t="str">
        <x:v>調理中一覧を他端末の変更に合わせて自動更新したい。向いているFirestore APIは？</x:v>
      </x:c>
      <x:c r="F74" s="22" t="str">
        <x:v>const unsub = onSnapshot(q, snapshot =&gt; { ... });</x:v>
      </x:c>
      <x:c r="G74" s="22" t="str">
        <x:v>onSnapshot</x:v>
      </x:c>
      <x:c r="H74" s="22" t="str">
        <x:v>getDocs</x:v>
      </x:c>
      <x:c r="I74" s="22" t="str">
        <x:v>deleteDoc</x:v>
      </x:c>
      <x:c r="J74" s="22" t="str">
        <x:v>parseInt</x:v>
      </x:c>
      <x:c r="K74" s="27" t="n">
        <x:v>1</x:v>
      </x:c>
      <x:c r="L74" s="22" t="str">
        <x:v>onSnapshot</x:v>
      </x:c>
      <x:c r="M74" s="22" t="str">
        <x:v>変更を監視するAPIです。</x:v>
      </x:c>
      <x:c r="N74" s="22" t="str">
        <x:v>onSnapshotは初回取得に加えて、その後の追加・変更・削除を購読できます。一度だけ読むならgetDocsが向いています。</x:v>
      </x:c>
      <x:c r="O74" s="22" t="str">
        <x:v>実装判断</x:v>
      </x:c>
      <x:c r="P74" s="23" t="str">
        <x:v>onSnapshot,調理中一覧,リアルタイム</x:v>
      </x:c>
    </x:row>
    <x:row r="75" ht="72" customHeight="1">
      <x:c r="A75" s="21" t="str">
        <x:v>FSQ-074</x:v>
      </x:c>
      <x:c r="B75" s="22" t="str">
        <x:v>リアルタイム</x:v>
      </x:c>
      <x:c r="C75" s="22" t="str">
        <x:v>中級</x:v>
      </x:c>
      <x:c r="D75" s="22" t="str">
        <x:v>4択</x:v>
      </x:c>
      <x:c r="E75" s="22" t="str">
        <x:v>モニター表示を他端末の変更に合わせて自動更新したい。向いているFirestore APIは？</x:v>
      </x:c>
      <x:c r="F75" s="22" t="str">
        <x:v>const unsub = onSnapshot(q, snapshot =&gt; { ... });</x:v>
      </x:c>
      <x:c r="G75" s="22" t="str">
        <x:v>getDocs</x:v>
      </x:c>
      <x:c r="H75" s="22" t="str">
        <x:v>onSnapshot</x:v>
      </x:c>
      <x:c r="I75" s="22" t="str">
        <x:v>deleteDoc</x:v>
      </x:c>
      <x:c r="J75" s="22" t="str">
        <x:v>parseInt</x:v>
      </x:c>
      <x:c r="K75" s="27" t="n">
        <x:v>2</x:v>
      </x:c>
      <x:c r="L75" s="22" t="str">
        <x:v>onSnapshot</x:v>
      </x:c>
      <x:c r="M75" s="22" t="str">
        <x:v>変更を監視するAPIです。</x:v>
      </x:c>
      <x:c r="N75" s="22" t="str">
        <x:v>onSnapshotは初回取得に加えて、その後の追加・変更・削除を購読できます。一度だけ読むならgetDocsが向いています。</x:v>
      </x:c>
      <x:c r="O75" s="22" t="str">
        <x:v>実装判断</x:v>
      </x:c>
      <x:c r="P75" s="23" t="str">
        <x:v>onSnapshot,モニター表示,リアルタイム</x:v>
      </x:c>
    </x:row>
    <x:row r="76" ht="72" customHeight="1">
      <x:c r="A76" s="21" t="str">
        <x:v>FSQ-075</x:v>
      </x:c>
      <x:c r="B76" s="22" t="str">
        <x:v>リアルタイム</x:v>
      </x:c>
      <x:c r="C76" s="22" t="str">
        <x:v>応用</x:v>
      </x:c>
      <x:c r="D76" s="22" t="str">
        <x:v>4択</x:v>
      </x:c>
      <x:c r="E76" s="22" t="str">
        <x:v>注文履歴を他端末の変更に合わせて自動更新したい。向いているFirestore APIは？</x:v>
      </x:c>
      <x:c r="F76" s="22" t="str">
        <x:v>const unsub = onSnapshot(q, snapshot =&gt; { ... });</x:v>
      </x:c>
      <x:c r="G76" s="22" t="str">
        <x:v>getDocs</x:v>
      </x:c>
      <x:c r="H76" s="22" t="str">
        <x:v>deleteDoc</x:v>
      </x:c>
      <x:c r="I76" s="22" t="str">
        <x:v>onSnapshot</x:v>
      </x:c>
      <x:c r="J76" s="22" t="str">
        <x:v>parseInt</x:v>
      </x:c>
      <x:c r="K76" s="27" t="n">
        <x:v>3</x:v>
      </x:c>
      <x:c r="L76" s="22" t="str">
        <x:v>onSnapshot</x:v>
      </x:c>
      <x:c r="M76" s="22" t="str">
        <x:v>変更を監視するAPIです。</x:v>
      </x:c>
      <x:c r="N76" s="22" t="str">
        <x:v>onSnapshotは初回取得に加えて、その後の追加・変更・削除を購読できます。一度だけ読むならgetDocsが向いています。</x:v>
      </x:c>
      <x:c r="O76" s="22" t="str">
        <x:v>実装判断</x:v>
      </x:c>
      <x:c r="P76" s="23" t="str">
        <x:v>onSnapshot,注文履歴,リアルタイム</x:v>
      </x:c>
    </x:row>
    <x:row r="77" ht="72" customHeight="1">
      <x:c r="A77" s="21" t="str">
        <x:v>FSQ-076</x:v>
      </x:c>
      <x:c r="B77" s="22" t="str">
        <x:v>リアルタイム</x:v>
      </x:c>
      <x:c r="C77" s="22" t="str">
        <x:v>初級</x:v>
      </x:c>
      <x:c r="D77" s="22" t="str">
        <x:v>4択</x:v>
      </x:c>
      <x:c r="E77" s="22" t="str">
        <x:v>復習BOXを他端末の変更に合わせて自動更新したい。向いているFirestore APIは？</x:v>
      </x:c>
      <x:c r="F77" s="22" t="str">
        <x:v>const unsub = onSnapshot(q, snapshot =&gt; { ... });</x:v>
      </x:c>
      <x:c r="G77" s="22" t="str">
        <x:v>getDocs</x:v>
      </x:c>
      <x:c r="H77" s="22" t="str">
        <x:v>deleteDoc</x:v>
      </x:c>
      <x:c r="I77" s="22" t="str">
        <x:v>parseInt</x:v>
      </x:c>
      <x:c r="J77" s="22" t="str">
        <x:v>onSnapshot</x:v>
      </x:c>
      <x:c r="K77" s="27" t="n">
        <x:v>4</x:v>
      </x:c>
      <x:c r="L77" s="22" t="str">
        <x:v>onSnapshot</x:v>
      </x:c>
      <x:c r="M77" s="22" t="str">
        <x:v>変更を監視するAPIです。</x:v>
      </x:c>
      <x:c r="N77" s="22" t="str">
        <x:v>onSnapshotは初回取得に加えて、その後の追加・変更・削除を購読できます。一度だけ読むならgetDocsが向いています。</x:v>
      </x:c>
      <x:c r="O77" s="22" t="str">
        <x:v>実装判断</x:v>
      </x:c>
      <x:c r="P77" s="23" t="str">
        <x:v>onSnapshot,復習BOX,リアルタイム</x:v>
      </x:c>
    </x:row>
    <x:row r="78" ht="72" customHeight="1">
      <x:c r="A78" s="21" t="str">
        <x:v>FSQ-077</x:v>
      </x:c>
      <x:c r="B78" s="22" t="str">
        <x:v>リアルタイム</x:v>
      </x:c>
      <x:c r="C78" s="22" t="str">
        <x:v>初級</x:v>
      </x:c>
      <x:c r="D78" s="22" t="str">
        <x:v>4択</x:v>
      </x:c>
      <x:c r="E78" s="22" t="str">
        <x:v>日替わり進捗を他端末の変更に合わせて自動更新したい。向いているFirestore APIは？</x:v>
      </x:c>
      <x:c r="F78" s="22" t="str">
        <x:v>const unsub = onSnapshot(q, snapshot =&gt; { ... });</x:v>
      </x:c>
      <x:c r="G78" s="22" t="str">
        <x:v>onSnapshot</x:v>
      </x:c>
      <x:c r="H78" s="22" t="str">
        <x:v>getDocs</x:v>
      </x:c>
      <x:c r="I78" s="22" t="str">
        <x:v>deleteDoc</x:v>
      </x:c>
      <x:c r="J78" s="22" t="str">
        <x:v>parseInt</x:v>
      </x:c>
      <x:c r="K78" s="27" t="n">
        <x:v>1</x:v>
      </x:c>
      <x:c r="L78" s="22" t="str">
        <x:v>onSnapshot</x:v>
      </x:c>
      <x:c r="M78" s="22" t="str">
        <x:v>変更を監視するAPIです。</x:v>
      </x:c>
      <x:c r="N78" s="22" t="str">
        <x:v>onSnapshotは初回取得に加えて、その後の追加・変更・削除を購読できます。一度だけ読むならgetDocsが向いています。</x:v>
      </x:c>
      <x:c r="O78" s="22" t="str">
        <x:v>実装判断</x:v>
      </x:c>
      <x:c r="P78" s="23" t="str">
        <x:v>onSnapshot,日替わり進捗,リアルタイム</x:v>
      </x:c>
    </x:row>
    <x:row r="79" ht="72" customHeight="1">
      <x:c r="A79" s="21" t="str">
        <x:v>FSQ-078</x:v>
      </x:c>
      <x:c r="B79" s="22" t="str">
        <x:v>リアルタイム</x:v>
      </x:c>
      <x:c r="C79" s="22" t="str">
        <x:v>中級</x:v>
      </x:c>
      <x:c r="D79" s="22" t="str">
        <x:v>4択</x:v>
      </x:c>
      <x:c r="E79" s="22" t="str">
        <x:v>スタッフ状態を他端末の変更に合わせて自動更新したい。向いているFirestore APIは？</x:v>
      </x:c>
      <x:c r="F79" s="22" t="str">
        <x:v>const unsub = onSnapshot(q, snapshot =&gt; { ... });</x:v>
      </x:c>
      <x:c r="G79" s="22" t="str">
        <x:v>getDocs</x:v>
      </x:c>
      <x:c r="H79" s="22" t="str">
        <x:v>onSnapshot</x:v>
      </x:c>
      <x:c r="I79" s="22" t="str">
        <x:v>deleteDoc</x:v>
      </x:c>
      <x:c r="J79" s="22" t="str">
        <x:v>parseInt</x:v>
      </x:c>
      <x:c r="K79" s="27" t="n">
        <x:v>2</x:v>
      </x:c>
      <x:c r="L79" s="22" t="str">
        <x:v>onSnapshot</x:v>
      </x:c>
      <x:c r="M79" s="22" t="str">
        <x:v>変更を監視するAPIです。</x:v>
      </x:c>
      <x:c r="N79" s="22" t="str">
        <x:v>onSnapshotは初回取得に加えて、その後の追加・変更・削除を購読できます。一度だけ読むならgetDocsが向いています。</x:v>
      </x:c>
      <x:c r="O79" s="22" t="str">
        <x:v>実装判断</x:v>
      </x:c>
      <x:c r="P79" s="23" t="str">
        <x:v>onSnapshot,スタッフ状態,リアルタイム</x:v>
      </x:c>
    </x:row>
    <x:row r="80" ht="72" customHeight="1">
      <x:c r="A80" s="21" t="str">
        <x:v>FSQ-079</x:v>
      </x:c>
      <x:c r="B80" s="22" t="str">
        <x:v>リアルタイム</x:v>
      </x:c>
      <x:c r="C80" s="22" t="str">
        <x:v>中級</x:v>
      </x:c>
      <x:c r="D80" s="22" t="str">
        <x:v>4択</x:v>
      </x:c>
      <x:c r="E80" s="22" t="str">
        <x:v>混雑状況を他端末の変更に合わせて自動更新したい。向いているFirestore APIは？</x:v>
      </x:c>
      <x:c r="F80" s="22" t="str">
        <x:v>const unsub = onSnapshot(q, snapshot =&gt; { ... });</x:v>
      </x:c>
      <x:c r="G80" s="22" t="str">
        <x:v>getDocs</x:v>
      </x:c>
      <x:c r="H80" s="22" t="str">
        <x:v>deleteDoc</x:v>
      </x:c>
      <x:c r="I80" s="22" t="str">
        <x:v>onSnapshot</x:v>
      </x:c>
      <x:c r="J80" s="22" t="str">
        <x:v>parseInt</x:v>
      </x:c>
      <x:c r="K80" s="27" t="n">
        <x:v>3</x:v>
      </x:c>
      <x:c r="L80" s="22" t="str">
        <x:v>onSnapshot</x:v>
      </x:c>
      <x:c r="M80" s="22" t="str">
        <x:v>変更を監視するAPIです。</x:v>
      </x:c>
      <x:c r="N80" s="22" t="str">
        <x:v>onSnapshotは初回取得に加えて、その後の追加・変更・削除を購読できます。一度だけ読むならgetDocsが向いています。</x:v>
      </x:c>
      <x:c r="O80" s="22" t="str">
        <x:v>実装判断</x:v>
      </x:c>
      <x:c r="P80" s="23" t="str">
        <x:v>onSnapshot,混雑状況,リアルタイム</x:v>
      </x:c>
    </x:row>
    <x:row r="81" ht="72" customHeight="1">
      <x:c r="A81" s="21" t="str">
        <x:v>FSQ-080</x:v>
      </x:c>
      <x:c r="B81" s="22" t="str">
        <x:v>リアルタイム</x:v>
      </x:c>
      <x:c r="C81" s="22" t="str">
        <x:v>応用</x:v>
      </x:c>
      <x:c r="D81" s="22" t="str">
        <x:v>4択</x:v>
      </x:c>
      <x:c r="E81" s="22" t="str">
        <x:v>遅延通知を他端末の変更に合わせて自動更新したい。向いているFirestore APIは？</x:v>
      </x:c>
      <x:c r="F81" s="22" t="str">
        <x:v>const unsub = onSnapshot(q, snapshot =&gt; { ... });</x:v>
      </x:c>
      <x:c r="G81" s="22" t="str">
        <x:v>getDocs</x:v>
      </x:c>
      <x:c r="H81" s="22" t="str">
        <x:v>deleteDoc</x:v>
      </x:c>
      <x:c r="I81" s="22" t="str">
        <x:v>parseInt</x:v>
      </x:c>
      <x:c r="J81" s="22" t="str">
        <x:v>onSnapshot</x:v>
      </x:c>
      <x:c r="K81" s="27" t="n">
        <x:v>4</x:v>
      </x:c>
      <x:c r="L81" s="22" t="str">
        <x:v>onSnapshot</x:v>
      </x:c>
      <x:c r="M81" s="22" t="str">
        <x:v>変更を監視するAPIです。</x:v>
      </x:c>
      <x:c r="N81" s="22" t="str">
        <x:v>onSnapshotは初回取得に加えて、その後の追加・変更・削除を購読できます。一度だけ読むならgetDocsが向いています。</x:v>
      </x:c>
      <x:c r="O81" s="22" t="str">
        <x:v>実装判断</x:v>
      </x:c>
      <x:c r="P81" s="23" t="str">
        <x:v>onSnapshot,遅延通知,リアルタイム</x:v>
      </x:c>
    </x:row>
    <x:row r="82" ht="72" customHeight="1">
      <x:c r="A82" s="21" t="str">
        <x:v>FSQ-081</x:v>
      </x:c>
      <x:c r="B82" s="22" t="str">
        <x:v>削除</x:v>
      </x:c>
      <x:c r="C82" s="22" t="str">
        <x:v>初級</x:v>
      </x:c>
      <x:c r="D82" s="22" t="str">
        <x:v>4択</x:v>
      </x:c>
      <x:c r="E82" s="22" t="str">
        <x:v>商品を1件だけ取消処理を実装するとき、履歴や整合性を考えるうえで最も安全寄りの考え方は？</x:v>
      </x:c>
      <x:c r="F82" s="22" t="str">
        <x:v>{ status: 'cancelled', cancelledAt: serverTimestamp() }</x:v>
      </x:c>
      <x:c r="G82" s="22" t="str">
        <x:v>物理削除だけでなく取消状態や履歴保存も検討する</x:v>
      </x:c>
      <x:c r="H82" s="22" t="str">
        <x:v>常に全データを即deleteDocする</x:v>
      </x:c>
      <x:c r="I82" s="22" t="str">
        <x:v>CSSで非表示にするだけで完了にする</x:v>
      </x:c>
      <x:c r="J82" s="22" t="str">
        <x:v>別の注文を上書きする</x:v>
      </x:c>
      <x:c r="K82" s="27" t="n">
        <x:v>1</x:v>
      </x:c>
      <x:c r="L82" s="22" t="str">
        <x:v>物理削除だけでなく取消状態や履歴保存も検討する</x:v>
      </x:c>
      <x:c r="M82" s="22" t="str">
        <x:v>削除したあとに確認できるかがポイントです。</x:v>
      </x:c>
      <x:c r="N82" s="22" t="str">
        <x:v>業務データは後から確認が必要になることがあります。完全削除か状態変更かは、履歴・監査・復元の必要性で判断します。</x:v>
      </x:c>
      <x:c r="O82" s="22" t="str">
        <x:v>実装判断</x:v>
      </x:c>
      <x:c r="P82" s="23" t="str">
        <x:v>deleteDoc,cancel,商品を1件だけ取消</x:v>
      </x:c>
    </x:row>
    <x:row r="83" ht="72" customHeight="1">
      <x:c r="A83" s="21" t="str">
        <x:v>FSQ-082</x:v>
      </x:c>
      <x:c r="B83" s="22" t="str">
        <x:v>削除</x:v>
      </x:c>
      <x:c r="C83" s="22" t="str">
        <x:v>初級</x:v>
      </x:c>
      <x:c r="D83" s="22" t="str">
        <x:v>4択</x:v>
      </x:c>
      <x:c r="E83" s="22" t="str">
        <x:v>最後の商品を取消処理を実装するとき、履歴や整合性を考えるうえで最も安全寄りの考え方は？</x:v>
      </x:c>
      <x:c r="F83" s="22" t="str">
        <x:v>{ status: 'cancelled', cancelledAt: serverTimestamp() }</x:v>
      </x:c>
      <x:c r="G83" s="22" t="str">
        <x:v>常に全データを即deleteDocする</x:v>
      </x:c>
      <x:c r="H83" s="22" t="str">
        <x:v>物理削除だけでなく取消状態や履歴保存も検討する</x:v>
      </x:c>
      <x:c r="I83" s="22" t="str">
        <x:v>CSSで非表示にするだけで完了にする</x:v>
      </x:c>
      <x:c r="J83" s="22" t="str">
        <x:v>別の注文を上書きする</x:v>
      </x:c>
      <x:c r="K83" s="27" t="n">
        <x:v>2</x:v>
      </x:c>
      <x:c r="L83" s="22" t="str">
        <x:v>物理削除だけでなく取消状態や履歴保存も検討する</x:v>
      </x:c>
      <x:c r="M83" s="22" t="str">
        <x:v>削除したあとに確認できるかがポイントです。</x:v>
      </x:c>
      <x:c r="N83" s="22" t="str">
        <x:v>業務データは後から確認が必要になることがあります。完全削除か状態変更かは、履歴・監査・復元の必要性で判断します。</x:v>
      </x:c>
      <x:c r="O83" s="22" t="str">
        <x:v>実装判断</x:v>
      </x:c>
      <x:c r="P83" s="23" t="str">
        <x:v>deleteDoc,cancel,最後の商品を取消</x:v>
      </x:c>
    </x:row>
    <x:row r="84" ht="72" customHeight="1">
      <x:c r="A84" s="21" t="str">
        <x:v>FSQ-083</x:v>
      </x:c>
      <x:c r="B84" s="22" t="str">
        <x:v>削除</x:v>
      </x:c>
      <x:c r="C84" s="22" t="str">
        <x:v>中級</x:v>
      </x:c>
      <x:c r="D84" s="22" t="str">
        <x:v>4択</x:v>
      </x:c>
      <x:c r="E84" s="22" t="str">
        <x:v>伝票全体を取消処理を実装するとき、履歴や整合性を考えるうえで最も安全寄りの考え方は？</x:v>
      </x:c>
      <x:c r="F84" s="22" t="str">
        <x:v>{ status: 'cancelled', cancelledAt: serverTimestamp() }</x:v>
      </x:c>
      <x:c r="G84" s="22" t="str">
        <x:v>常に全データを即deleteDocする</x:v>
      </x:c>
      <x:c r="H84" s="22" t="str">
        <x:v>CSSで非表示にするだけで完了にする</x:v>
      </x:c>
      <x:c r="I84" s="22" t="str">
        <x:v>物理削除だけでなく取消状態や履歴保存も検討する</x:v>
      </x:c>
      <x:c r="J84" s="22" t="str">
        <x:v>別の注文を上書きする</x:v>
      </x:c>
      <x:c r="K84" s="27" t="n">
        <x:v>3</x:v>
      </x:c>
      <x:c r="L84" s="22" t="str">
        <x:v>物理削除だけでなく取消状態や履歴保存も検討する</x:v>
      </x:c>
      <x:c r="M84" s="22" t="str">
        <x:v>削除したあとに確認できるかがポイントです。</x:v>
      </x:c>
      <x:c r="N84" s="22" t="str">
        <x:v>業務データは後から確認が必要になることがあります。完全削除か状態変更かは、履歴・監査・復元の必要性で判断します。</x:v>
      </x:c>
      <x:c r="O84" s="22" t="str">
        <x:v>実装判断</x:v>
      </x:c>
      <x:c r="P84" s="23" t="str">
        <x:v>deleteDoc,cancel,伝票全体を取消</x:v>
      </x:c>
    </x:row>
    <x:row r="85" ht="72" customHeight="1">
      <x:c r="A85" s="21" t="str">
        <x:v>FSQ-084</x:v>
      </x:c>
      <x:c r="B85" s="22" t="str">
        <x:v>削除</x:v>
      </x:c>
      <x:c r="C85" s="22" t="str">
        <x:v>中級</x:v>
      </x:c>
      <x:c r="D85" s="22" t="str">
        <x:v>4択</x:v>
      </x:c>
      <x:c r="E85" s="22" t="str">
        <x:v>誤注文を取消処理を実装するとき、履歴や整合性を考えるうえで最も安全寄りの考え方は？</x:v>
      </x:c>
      <x:c r="F85" s="22" t="str">
        <x:v>{ status: 'cancelled', cancelledAt: serverTimestamp() }</x:v>
      </x:c>
      <x:c r="G85" s="22" t="str">
        <x:v>常に全データを即deleteDocする</x:v>
      </x:c>
      <x:c r="H85" s="22" t="str">
        <x:v>CSSで非表示にするだけで完了にする</x:v>
      </x:c>
      <x:c r="I85" s="22" t="str">
        <x:v>別の注文を上書きする</x:v>
      </x:c>
      <x:c r="J85" s="22" t="str">
        <x:v>物理削除だけでなく取消状態や履歴保存も検討する</x:v>
      </x:c>
      <x:c r="K85" s="27" t="n">
        <x:v>4</x:v>
      </x:c>
      <x:c r="L85" s="22" t="str">
        <x:v>物理削除だけでなく取消状態や履歴保存も検討する</x:v>
      </x:c>
      <x:c r="M85" s="22" t="str">
        <x:v>削除したあとに確認できるかがポイントです。</x:v>
      </x:c>
      <x:c r="N85" s="22" t="str">
        <x:v>業務データは後から確認が必要になることがあります。完全削除か状態変更かは、履歴・監査・復元の必要性で判断します。</x:v>
      </x:c>
      <x:c r="O85" s="22" t="str">
        <x:v>実装判断</x:v>
      </x:c>
      <x:c r="P85" s="23" t="str">
        <x:v>deleteDoc,cancel,誤注文を取消</x:v>
      </x:c>
    </x:row>
    <x:row r="86" ht="72" customHeight="1">
      <x:c r="A86" s="21" t="str">
        <x:v>FSQ-085</x:v>
      </x:c>
      <x:c r="B86" s="22" t="str">
        <x:v>削除</x:v>
      </x:c>
      <x:c r="C86" s="22" t="str">
        <x:v>応用</x:v>
      </x:c>
      <x:c r="D86" s="22" t="str">
        <x:v>4択</x:v>
      </x:c>
      <x:c r="E86" s="22" t="str">
        <x:v>提供済みを履歴へ残す処理を実装するとき、履歴や整合性を考えるうえで最も安全寄りの考え方は？</x:v>
      </x:c>
      <x:c r="F86" s="22" t="str">
        <x:v>{ status: 'cancelled', cancelledAt: serverTimestamp() }</x:v>
      </x:c>
      <x:c r="G86" s="22" t="str">
        <x:v>物理削除だけでなく取消状態や履歴保存も検討する</x:v>
      </x:c>
      <x:c r="H86" s="22" t="str">
        <x:v>常に全データを即deleteDocする</x:v>
      </x:c>
      <x:c r="I86" s="22" t="str">
        <x:v>CSSで非表示にするだけで完了にする</x:v>
      </x:c>
      <x:c r="J86" s="22" t="str">
        <x:v>別の注文を上書きする</x:v>
      </x:c>
      <x:c r="K86" s="27" t="n">
        <x:v>1</x:v>
      </x:c>
      <x:c r="L86" s="22" t="str">
        <x:v>物理削除だけでなく取消状態や履歴保存も検討する</x:v>
      </x:c>
      <x:c r="M86" s="22" t="str">
        <x:v>削除したあとに確認できるかがポイントです。</x:v>
      </x:c>
      <x:c r="N86" s="22" t="str">
        <x:v>業務データは後から確認が必要になることがあります。完全削除か状態変更かは、履歴・監査・復元の必要性で判断します。</x:v>
      </x:c>
      <x:c r="O86" s="22" t="str">
        <x:v>実装判断</x:v>
      </x:c>
      <x:c r="P86" s="23" t="str">
        <x:v>deleteDoc,cancel,提供済みを履歴へ残す</x:v>
      </x:c>
    </x:row>
    <x:row r="87" ht="72" customHeight="1">
      <x:c r="A87" s="21" t="str">
        <x:v>FSQ-086</x:v>
      </x:c>
      <x:c r="B87" s="22" t="str">
        <x:v>削除</x:v>
      </x:c>
      <x:c r="C87" s="22" t="str">
        <x:v>初級</x:v>
      </x:c>
      <x:c r="D87" s="22" t="str">
        <x:v>4択</x:v>
      </x:c>
      <x:c r="E87" s="22" t="str">
        <x:v>キャンセル理由を残す処理を実装するとき、履歴や整合性を考えるうえで最も安全寄りの考え方は？</x:v>
      </x:c>
      <x:c r="F87" s="22" t="str">
        <x:v>{ status: 'cancelled', cancelledAt: serverTimestamp() }</x:v>
      </x:c>
      <x:c r="G87" s="22" t="str">
        <x:v>常に全データを即deleteDocする</x:v>
      </x:c>
      <x:c r="H87" s="22" t="str">
        <x:v>物理削除だけでなく取消状態や履歴保存も検討する</x:v>
      </x:c>
      <x:c r="I87" s="22" t="str">
        <x:v>CSSで非表示にするだけで完了にする</x:v>
      </x:c>
      <x:c r="J87" s="22" t="str">
        <x:v>別の注文を上書きする</x:v>
      </x:c>
      <x:c r="K87" s="27" t="n">
        <x:v>2</x:v>
      </x:c>
      <x:c r="L87" s="22" t="str">
        <x:v>物理削除だけでなく取消状態や履歴保存も検討する</x:v>
      </x:c>
      <x:c r="M87" s="22" t="str">
        <x:v>削除したあとに確認できるかがポイントです。</x:v>
      </x:c>
      <x:c r="N87" s="22" t="str">
        <x:v>業務データは後から確認が必要になることがあります。完全削除か状態変更かは、履歴・監査・復元の必要性で判断します。</x:v>
      </x:c>
      <x:c r="O87" s="22" t="str">
        <x:v>実装判断</x:v>
      </x:c>
      <x:c r="P87" s="23" t="str">
        <x:v>deleteDoc,cancel,キャンセル理由を残す</x:v>
      </x:c>
    </x:row>
    <x:row r="88" ht="72" customHeight="1">
      <x:c r="A88" s="21" t="str">
        <x:v>FSQ-087</x:v>
      </x:c>
      <x:c r="B88" s="22" t="str">
        <x:v>削除</x:v>
      </x:c>
      <x:c r="C88" s="22" t="str">
        <x:v>初級</x:v>
      </x:c>
      <x:c r="D88" s="22" t="str">
        <x:v>4択</x:v>
      </x:c>
      <x:c r="E88" s="22" t="str">
        <x:v>在庫も戻す処理を実装するとき、履歴や整合性を考えるうえで最も安全寄りの考え方は？</x:v>
      </x:c>
      <x:c r="F88" s="22" t="str">
        <x:v>{ status: 'cancelled', cancelledAt: serverTimestamp() }</x:v>
      </x:c>
      <x:c r="G88" s="22" t="str">
        <x:v>常に全データを即deleteDocする</x:v>
      </x:c>
      <x:c r="H88" s="22" t="str">
        <x:v>CSSで非表示にするだけで完了にする</x:v>
      </x:c>
      <x:c r="I88" s="22" t="str">
        <x:v>物理削除だけでなく取消状態や履歴保存も検討する</x:v>
      </x:c>
      <x:c r="J88" s="22" t="str">
        <x:v>別の注文を上書きする</x:v>
      </x:c>
      <x:c r="K88" s="27" t="n">
        <x:v>3</x:v>
      </x:c>
      <x:c r="L88" s="22" t="str">
        <x:v>物理削除だけでなく取消状態や履歴保存も検討する</x:v>
      </x:c>
      <x:c r="M88" s="22" t="str">
        <x:v>削除したあとに確認できるかがポイントです。</x:v>
      </x:c>
      <x:c r="N88" s="22" t="str">
        <x:v>業務データは後から確認が必要になることがあります。完全削除か状態変更かは、履歴・監査・復元の必要性で判断します。</x:v>
      </x:c>
      <x:c r="O88" s="22" t="str">
        <x:v>実装判断</x:v>
      </x:c>
      <x:c r="P88" s="23" t="str">
        <x:v>deleteDoc,cancel,在庫も戻す</x:v>
      </x:c>
    </x:row>
    <x:row r="89" ht="72" customHeight="1">
      <x:c r="A89" s="21" t="str">
        <x:v>FSQ-088</x:v>
      </x:c>
      <x:c r="B89" s="22" t="str">
        <x:v>削除</x:v>
      </x:c>
      <x:c r="C89" s="22" t="str">
        <x:v>中級</x:v>
      </x:c>
      <x:c r="D89" s="22" t="str">
        <x:v>4択</x:v>
      </x:c>
      <x:c r="E89" s="22" t="str">
        <x:v>KDSから消す処理を実装するとき、履歴や整合性を考えるうえで最も安全寄りの考え方は？</x:v>
      </x:c>
      <x:c r="F89" s="22" t="str">
        <x:v>{ status: 'cancelled', cancelledAt: serverTimestamp() }</x:v>
      </x:c>
      <x:c r="G89" s="22" t="str">
        <x:v>常に全データを即deleteDocする</x:v>
      </x:c>
      <x:c r="H89" s="22" t="str">
        <x:v>CSSで非表示にするだけで完了にする</x:v>
      </x:c>
      <x:c r="I89" s="22" t="str">
        <x:v>別の注文を上書きする</x:v>
      </x:c>
      <x:c r="J89" s="22" t="str">
        <x:v>物理削除だけでなく取消状態や履歴保存も検討する</x:v>
      </x:c>
      <x:c r="K89" s="27" t="n">
        <x:v>4</x:v>
      </x:c>
      <x:c r="L89" s="22" t="str">
        <x:v>物理削除だけでなく取消状態や履歴保存も検討する</x:v>
      </x:c>
      <x:c r="M89" s="22" t="str">
        <x:v>削除したあとに確認できるかがポイントです。</x:v>
      </x:c>
      <x:c r="N89" s="22" t="str">
        <x:v>業務データは後から確認が必要になることがあります。完全削除か状態変更かは、履歴・監査・復元の必要性で判断します。</x:v>
      </x:c>
      <x:c r="O89" s="22" t="str">
        <x:v>実装判断</x:v>
      </x:c>
      <x:c r="P89" s="23" t="str">
        <x:v>deleteDoc,cancel,KDSから消す</x:v>
      </x:c>
    </x:row>
    <x:row r="90" ht="72" customHeight="1">
      <x:c r="A90" s="21" t="str">
        <x:v>FSQ-089</x:v>
      </x:c>
      <x:c r="B90" s="22" t="str">
        <x:v>削除</x:v>
      </x:c>
      <x:c r="C90" s="22" t="str">
        <x:v>中級</x:v>
      </x:c>
      <x:c r="D90" s="22" t="str">
        <x:v>4択</x:v>
      </x:c>
      <x:c r="E90" s="22" t="str">
        <x:v>復元可能にする処理を実装するとき、履歴や整合性を考えるうえで最も安全寄りの考え方は？</x:v>
      </x:c>
      <x:c r="F90" s="22" t="str">
        <x:v>{ status: 'cancelled', cancelledAt: serverTimestamp() }</x:v>
      </x:c>
      <x:c r="G90" s="22" t="str">
        <x:v>物理削除だけでなく取消状態や履歴保存も検討する</x:v>
      </x:c>
      <x:c r="H90" s="22" t="str">
        <x:v>常に全データを即deleteDocする</x:v>
      </x:c>
      <x:c r="I90" s="22" t="str">
        <x:v>CSSで非表示にするだけで完了にする</x:v>
      </x:c>
      <x:c r="J90" s="22" t="str">
        <x:v>別の注文を上書きする</x:v>
      </x:c>
      <x:c r="K90" s="27" t="n">
        <x:v>1</x:v>
      </x:c>
      <x:c r="L90" s="22" t="str">
        <x:v>物理削除だけでなく取消状態や履歴保存も検討する</x:v>
      </x:c>
      <x:c r="M90" s="22" t="str">
        <x:v>削除したあとに確認できるかがポイントです。</x:v>
      </x:c>
      <x:c r="N90" s="22" t="str">
        <x:v>業務データは後から確認が必要になることがあります。完全削除か状態変更かは、履歴・監査・復元の必要性で判断します。</x:v>
      </x:c>
      <x:c r="O90" s="22" t="str">
        <x:v>実装判断</x:v>
      </x:c>
      <x:c r="P90" s="23" t="str">
        <x:v>deleteDoc,cancel,復元可能にする</x:v>
      </x:c>
    </x:row>
    <x:row r="91" ht="72" customHeight="1">
      <x:c r="A91" s="21" t="str">
        <x:v>FSQ-090</x:v>
      </x:c>
      <x:c r="B91" s="22" t="str">
        <x:v>削除</x:v>
      </x:c>
      <x:c r="C91" s="22" t="str">
        <x:v>応用</x:v>
      </x:c>
      <x:c r="D91" s="22" t="str">
        <x:v>4択</x:v>
      </x:c>
      <x:c r="E91" s="22" t="str">
        <x:v>監査ログを残す処理を実装するとき、履歴や整合性を考えるうえで最も安全寄りの考え方は？</x:v>
      </x:c>
      <x:c r="F91" s="22" t="str">
        <x:v>{ status: 'cancelled', cancelledAt: serverTimestamp() }</x:v>
      </x:c>
      <x:c r="G91" s="22" t="str">
        <x:v>常に全データを即deleteDocする</x:v>
      </x:c>
      <x:c r="H91" s="22" t="str">
        <x:v>物理削除だけでなく取消状態や履歴保存も検討する</x:v>
      </x:c>
      <x:c r="I91" s="22" t="str">
        <x:v>CSSで非表示にするだけで完了にする</x:v>
      </x:c>
      <x:c r="J91" s="22" t="str">
        <x:v>別の注文を上書きする</x:v>
      </x:c>
      <x:c r="K91" s="27" t="n">
        <x:v>2</x:v>
      </x:c>
      <x:c r="L91" s="22" t="str">
        <x:v>物理削除だけでなく取消状態や履歴保存も検討する</x:v>
      </x:c>
      <x:c r="M91" s="22" t="str">
        <x:v>削除したあとに確認できるかがポイントです。</x:v>
      </x:c>
      <x:c r="N91" s="22" t="str">
        <x:v>業務データは後から確認が必要になることがあります。完全削除か状態変更かは、履歴・監査・復元の必要性で判断します。</x:v>
      </x:c>
      <x:c r="O91" s="22" t="str">
        <x:v>実装判断</x:v>
      </x:c>
      <x:c r="P91" s="23" t="str">
        <x:v>deleteDoc,cancel,監査ログを残す</x:v>
      </x:c>
    </x:row>
    <x:row r="92" ht="72" customHeight="1">
      <x:c r="A92" s="21" t="str">
        <x:v>FSQ-091</x:v>
      </x:c>
      <x:c r="B92" s="22" t="str">
        <x:v>Spreadsheet連携</x:v>
      </x:c>
      <x:c r="C92" s="22" t="str">
        <x:v>初級</x:v>
      </x:c>
      <x:c r="D92" s="22" t="str">
        <x:v>4択</x:v>
      </x:c>
      <x:c r="E92" s="22" t="str">
        <x:v>注文ログをApps Script経由でSpreadsheetへ記録したい。Webアプリ側で大事な実装は？</x:v>
      </x:c>
      <x:c r="F92" s="22" t="str">
        <x:v>doPost(e) { const data = JSON.parse(e.postData.contents); }</x:v>
      </x:c>
      <x:c r="G92" s="22" t="str">
        <x:v>GETだけで必ず保存する</x:v>
      </x:c>
      <x:c r="H92" s="22" t="str">
        <x:v>スプレッドシートを手で毎回作り直す</x:v>
      </x:c>
      <x:c r="I92" s="22" t="str">
        <x:v>doPostでJSONを受け取り、行としてappendする</x:v>
      </x:c>
      <x:c r="J92" s="22" t="str">
        <x:v>HTMLのtitleに保存する</x:v>
      </x:c>
      <x:c r="K92" s="27" t="n">
        <x:v>3</x:v>
      </x:c>
      <x:c r="L92" s="22" t="str">
        <x:v>doPostでJSONを受け取り、行としてappendする</x:v>
      </x:c>
      <x:c r="M92" s="22" t="str">
        <x:v>ブラウザから送ったJSONをGAS側で受け取ります。</x:v>
      </x:c>
      <x:c r="N92" s="22" t="str">
        <x:v>fetchで送った学習ログや問題データは、Apps ScriptのdoPostで受け取り、SpreadsheetAppでシートへ追記できます。</x:v>
      </x:c>
      <x:c r="O92" s="22" t="str">
        <x:v>全範囲</x:v>
      </x:c>
      <x:c r="P92" s="23" t="str">
        <x:v>AppsScript,Spreadsheet,注文ログ</x:v>
      </x:c>
    </x:row>
    <x:row r="93" ht="72" customHeight="1">
      <x:c r="A93" s="21" t="str">
        <x:v>FSQ-092</x:v>
      </x:c>
      <x:c r="B93" s="22" t="str">
        <x:v>Spreadsheet連携</x:v>
      </x:c>
      <x:c r="C93" s="22" t="str">
        <x:v>初級</x:v>
      </x:c>
      <x:c r="D93" s="22" t="str">
        <x:v>4択</x:v>
      </x:c>
      <x:c r="E93" s="22" t="str">
        <x:v>回答ログをApps Script経由でSpreadsheetへ記録したい。Webアプリ側で大事な実装は？</x:v>
      </x:c>
      <x:c r="F93" s="22" t="str">
        <x:v>doPost(e) { const data = JSON.parse(e.postData.contents); }</x:v>
      </x:c>
      <x:c r="G93" s="22" t="str">
        <x:v>GETだけで必ず保存する</x:v>
      </x:c>
      <x:c r="H93" s="22" t="str">
        <x:v>スプレッドシートを手で毎回作り直す</x:v>
      </x:c>
      <x:c r="I93" s="22" t="str">
        <x:v>HTMLのtitleに保存する</x:v>
      </x:c>
      <x:c r="J93" s="22" t="str">
        <x:v>doPostでJSONを受け取り、行としてappendする</x:v>
      </x:c>
      <x:c r="K93" s="27" t="n">
        <x:v>4</x:v>
      </x:c>
      <x:c r="L93" s="22" t="str">
        <x:v>doPostでJSONを受け取り、行としてappendする</x:v>
      </x:c>
      <x:c r="M93" s="22" t="str">
        <x:v>ブラウザから送ったJSONをGAS側で受け取ります。</x:v>
      </x:c>
      <x:c r="N93" s="22" t="str">
        <x:v>fetchで送った学習ログや問題データは、Apps ScriptのdoPostで受け取り、SpreadsheetAppでシートへ追記できます。</x:v>
      </x:c>
      <x:c r="O93" s="22" t="str">
        <x:v>全範囲</x:v>
      </x:c>
      <x:c r="P93" s="23" t="str">
        <x:v>AppsScript,Spreadsheet,回答ログ</x:v>
      </x:c>
    </x:row>
    <x:row r="94" ht="72" customHeight="1">
      <x:c r="A94" s="21" t="str">
        <x:v>FSQ-093</x:v>
      </x:c>
      <x:c r="B94" s="22" t="str">
        <x:v>Spreadsheet連携</x:v>
      </x:c>
      <x:c r="C94" s="22" t="str">
        <x:v>中級</x:v>
      </x:c>
      <x:c r="D94" s="22" t="str">
        <x:v>4択</x:v>
      </x:c>
      <x:c r="E94" s="22" t="str">
        <x:v>問題マスタをApps Script経由でSpreadsheetへ記録したい。Webアプリ側で大事な実装は？</x:v>
      </x:c>
      <x:c r="F94" s="22" t="str">
        <x:v>doPost(e) { const data = JSON.parse(e.postData.contents); }</x:v>
      </x:c>
      <x:c r="G94" s="22" t="str">
        <x:v>doPostでJSONを受け取り、行としてappendする</x:v>
      </x:c>
      <x:c r="H94" s="22" t="str">
        <x:v>GETだけで必ず保存する</x:v>
      </x:c>
      <x:c r="I94" s="22" t="str">
        <x:v>スプレッドシートを手で毎回作り直す</x:v>
      </x:c>
      <x:c r="J94" s="22" t="str">
        <x:v>HTMLのtitleに保存する</x:v>
      </x:c>
      <x:c r="K94" s="27" t="n">
        <x:v>1</x:v>
      </x:c>
      <x:c r="L94" s="22" t="str">
        <x:v>doPostでJSONを受け取り、行としてappendする</x:v>
      </x:c>
      <x:c r="M94" s="22" t="str">
        <x:v>ブラウザから送ったJSONをGAS側で受け取ります。</x:v>
      </x:c>
      <x:c r="N94" s="22" t="str">
        <x:v>fetchで送った学習ログや問題データは、Apps ScriptのdoPostで受け取り、SpreadsheetAppでシートへ追記できます。</x:v>
      </x:c>
      <x:c r="O94" s="22" t="str">
        <x:v>全範囲</x:v>
      </x:c>
      <x:c r="P94" s="23" t="str">
        <x:v>AppsScript,Spreadsheet,問題マスタ</x:v>
      </x:c>
    </x:row>
    <x:row r="95" ht="72" customHeight="1">
      <x:c r="A95" s="21" t="str">
        <x:v>FSQ-094</x:v>
      </x:c>
      <x:c r="B95" s="22" t="str">
        <x:v>Spreadsheet連携</x:v>
      </x:c>
      <x:c r="C95" s="22" t="str">
        <x:v>中級</x:v>
      </x:c>
      <x:c r="D95" s="22" t="str">
        <x:v>4択</x:v>
      </x:c>
      <x:c r="E95" s="22" t="str">
        <x:v>日別集計をApps Script経由でSpreadsheetへ記録したい。Webアプリ側で大事な実装は？</x:v>
      </x:c>
      <x:c r="F95" s="22" t="str">
        <x:v>doPost(e) { const data = JSON.parse(e.postData.contents); }</x:v>
      </x:c>
      <x:c r="G95" s="22" t="str">
        <x:v>GETだけで必ず保存する</x:v>
      </x:c>
      <x:c r="H95" s="22" t="str">
        <x:v>doPostでJSONを受け取り、行としてappendする</x:v>
      </x:c>
      <x:c r="I95" s="22" t="str">
        <x:v>スプレッドシートを手で毎回作り直す</x:v>
      </x:c>
      <x:c r="J95" s="22" t="str">
        <x:v>HTMLのtitleに保存する</x:v>
      </x:c>
      <x:c r="K95" s="27" t="n">
        <x:v>2</x:v>
      </x:c>
      <x:c r="L95" s="22" t="str">
        <x:v>doPostでJSONを受け取り、行としてappendする</x:v>
      </x:c>
      <x:c r="M95" s="22" t="str">
        <x:v>ブラウザから送ったJSONをGAS側で受け取ります。</x:v>
      </x:c>
      <x:c r="N95" s="22" t="str">
        <x:v>fetchで送った学習ログや問題データは、Apps ScriptのdoPostで受け取り、SpreadsheetAppでシートへ追記できます。</x:v>
      </x:c>
      <x:c r="O95" s="22" t="str">
        <x:v>全範囲</x:v>
      </x:c>
      <x:c r="P95" s="23" t="str">
        <x:v>AppsScript,Spreadsheet,日別集計</x:v>
      </x:c>
    </x:row>
    <x:row r="96" ht="72" customHeight="1">
      <x:c r="A96" s="21" t="str">
        <x:v>FSQ-095</x:v>
      </x:c>
      <x:c r="B96" s="22" t="str">
        <x:v>Spreadsheet連携</x:v>
      </x:c>
      <x:c r="C96" s="22" t="str">
        <x:v>応用</x:v>
      </x:c>
      <x:c r="D96" s="22" t="str">
        <x:v>4択</x:v>
      </x:c>
      <x:c r="E96" s="22" t="str">
        <x:v>ユーザー別進捗をApps Script経由でSpreadsheetへ記録したい。Webアプリ側で大事な実装は？</x:v>
      </x:c>
      <x:c r="F96" s="22" t="str">
        <x:v>doPost(e) { const data = JSON.parse(e.postData.contents); }</x:v>
      </x:c>
      <x:c r="G96" s="22" t="str">
        <x:v>GETだけで必ず保存する</x:v>
      </x:c>
      <x:c r="H96" s="22" t="str">
        <x:v>スプレッドシートを手で毎回作り直す</x:v>
      </x:c>
      <x:c r="I96" s="22" t="str">
        <x:v>doPostでJSONを受け取り、行としてappendする</x:v>
      </x:c>
      <x:c r="J96" s="22" t="str">
        <x:v>HTMLのtitleに保存する</x:v>
      </x:c>
      <x:c r="K96" s="27" t="n">
        <x:v>3</x:v>
      </x:c>
      <x:c r="L96" s="22" t="str">
        <x:v>doPostでJSONを受け取り、行としてappendする</x:v>
      </x:c>
      <x:c r="M96" s="22" t="str">
        <x:v>ブラウザから送ったJSONをGAS側で受け取ります。</x:v>
      </x:c>
      <x:c r="N96" s="22" t="str">
        <x:v>fetchで送った学習ログや問題データは、Apps ScriptのdoPostで受け取り、SpreadsheetAppでシートへ追記できます。</x:v>
      </x:c>
      <x:c r="O96" s="22" t="str">
        <x:v>全範囲</x:v>
      </x:c>
      <x:c r="P96" s="23" t="str">
        <x:v>AppsScript,Spreadsheet,ユーザー別進捗</x:v>
      </x:c>
    </x:row>
    <x:row r="97" ht="72" customHeight="1">
      <x:c r="A97" s="21" t="str">
        <x:v>FSQ-096</x:v>
      </x:c>
      <x:c r="B97" s="22" t="str">
        <x:v>Spreadsheet連携</x:v>
      </x:c>
      <x:c r="C97" s="22" t="str">
        <x:v>初級</x:v>
      </x:c>
      <x:c r="D97" s="22" t="str">
        <x:v>4択</x:v>
      </x:c>
      <x:c r="E97" s="22" t="str">
        <x:v>キャンセル履歴をApps Script経由でSpreadsheetへ記録したい。Webアプリ側で大事な実装は？</x:v>
      </x:c>
      <x:c r="F97" s="22" t="str">
        <x:v>doPost(e) { const data = JSON.parse(e.postData.contents); }</x:v>
      </x:c>
      <x:c r="G97" s="22" t="str">
        <x:v>GETだけで必ず保存する</x:v>
      </x:c>
      <x:c r="H97" s="22" t="str">
        <x:v>スプレッドシートを手で毎回作り直す</x:v>
      </x:c>
      <x:c r="I97" s="22" t="str">
        <x:v>HTMLのtitleに保存する</x:v>
      </x:c>
      <x:c r="J97" s="22" t="str">
        <x:v>doPostでJSONを受け取り、行としてappendする</x:v>
      </x:c>
      <x:c r="K97" s="27" t="n">
        <x:v>4</x:v>
      </x:c>
      <x:c r="L97" s="22" t="str">
        <x:v>doPostでJSONを受け取り、行としてappendする</x:v>
      </x:c>
      <x:c r="M97" s="22" t="str">
        <x:v>ブラウザから送ったJSONをGAS側で受け取ります。</x:v>
      </x:c>
      <x:c r="N97" s="22" t="str">
        <x:v>fetchで送った学習ログや問題データは、Apps ScriptのdoPostで受け取り、SpreadsheetAppでシートへ追記できます。</x:v>
      </x:c>
      <x:c r="O97" s="22" t="str">
        <x:v>全範囲</x:v>
      </x:c>
      <x:c r="P97" s="23" t="str">
        <x:v>AppsScript,Spreadsheet,キャンセル履歴</x:v>
      </x:c>
    </x:row>
    <x:row r="98" ht="72" customHeight="1">
      <x:c r="A98" s="21" t="str">
        <x:v>FSQ-097</x:v>
      </x:c>
      <x:c r="B98" s="22" t="str">
        <x:v>Spreadsheet連携</x:v>
      </x:c>
      <x:c r="C98" s="22" t="str">
        <x:v>初級</x:v>
      </x:c>
      <x:c r="D98" s="22" t="str">
        <x:v>4択</x:v>
      </x:c>
      <x:c r="E98" s="22" t="str">
        <x:v>担当者履歴をApps Script経由でSpreadsheetへ記録したい。Webアプリ側で大事な実装は？</x:v>
      </x:c>
      <x:c r="F98" s="22" t="str">
        <x:v>doPost(e) { const data = JSON.parse(e.postData.contents); }</x:v>
      </x:c>
      <x:c r="G98" s="22" t="str">
        <x:v>doPostでJSONを受け取り、行としてappendする</x:v>
      </x:c>
      <x:c r="H98" s="22" t="str">
        <x:v>GETだけで必ず保存する</x:v>
      </x:c>
      <x:c r="I98" s="22" t="str">
        <x:v>スプレッドシートを手で毎回作り直す</x:v>
      </x:c>
      <x:c r="J98" s="22" t="str">
        <x:v>HTMLのtitleに保存する</x:v>
      </x:c>
      <x:c r="K98" s="27" t="n">
        <x:v>1</x:v>
      </x:c>
      <x:c r="L98" s="22" t="str">
        <x:v>doPostでJSONを受け取り、行としてappendする</x:v>
      </x:c>
      <x:c r="M98" s="22" t="str">
        <x:v>ブラウザから送ったJSONをGAS側で受け取ります。</x:v>
      </x:c>
      <x:c r="N98" s="22" t="str">
        <x:v>fetchで送った学習ログや問題データは、Apps ScriptのdoPostで受け取り、SpreadsheetAppでシートへ追記できます。</x:v>
      </x:c>
      <x:c r="O98" s="22" t="str">
        <x:v>全範囲</x:v>
      </x:c>
      <x:c r="P98" s="23" t="str">
        <x:v>AppsScript,Spreadsheet,担当者履歴</x:v>
      </x:c>
    </x:row>
    <x:row r="99" ht="72" customHeight="1">
      <x:c r="A99" s="21" t="str">
        <x:v>FSQ-098</x:v>
      </x:c>
      <x:c r="B99" s="22" t="str">
        <x:v>Spreadsheet連携</x:v>
      </x:c>
      <x:c r="C99" s="22" t="str">
        <x:v>中級</x:v>
      </x:c>
      <x:c r="D99" s="22" t="str">
        <x:v>4択</x:v>
      </x:c>
      <x:c r="E99" s="22" t="str">
        <x:v>KDS操作ログをApps Script経由でSpreadsheetへ記録したい。Webアプリ側で大事な実装は？</x:v>
      </x:c>
      <x:c r="F99" s="22" t="str">
        <x:v>doPost(e) { const data = JSON.parse(e.postData.contents); }</x:v>
      </x:c>
      <x:c r="G99" s="22" t="str">
        <x:v>GETだけで必ず保存する</x:v>
      </x:c>
      <x:c r="H99" s="22" t="str">
        <x:v>doPostでJSONを受け取り、行としてappendする</x:v>
      </x:c>
      <x:c r="I99" s="22" t="str">
        <x:v>スプレッドシートを手で毎回作り直す</x:v>
      </x:c>
      <x:c r="J99" s="22" t="str">
        <x:v>HTMLのtitleに保存する</x:v>
      </x:c>
      <x:c r="K99" s="27" t="n">
        <x:v>2</x:v>
      </x:c>
      <x:c r="L99" s="22" t="str">
        <x:v>doPostでJSONを受け取り、行としてappendする</x:v>
      </x:c>
      <x:c r="M99" s="22" t="str">
        <x:v>ブラウザから送ったJSONをGAS側で受け取ります。</x:v>
      </x:c>
      <x:c r="N99" s="22" t="str">
        <x:v>fetchで送った学習ログや問題データは、Apps ScriptのdoPostで受け取り、SpreadsheetAppでシートへ追記できます。</x:v>
      </x:c>
      <x:c r="O99" s="22" t="str">
        <x:v>全範囲</x:v>
      </x:c>
      <x:c r="P99" s="23" t="str">
        <x:v>AppsScript,Spreadsheet,KDS操作ログ</x:v>
      </x:c>
    </x:row>
    <x:row r="100" ht="72" customHeight="1">
      <x:c r="A100" s="21" t="str">
        <x:v>FSQ-099</x:v>
      </x:c>
      <x:c r="B100" s="22" t="str">
        <x:v>Spreadsheet連携</x:v>
      </x:c>
      <x:c r="C100" s="22" t="str">
        <x:v>中級</x:v>
      </x:c>
      <x:c r="D100" s="22" t="str">
        <x:v>4択</x:v>
      </x:c>
      <x:c r="E100" s="22" t="str">
        <x:v>エラーログをApps Script経由でSpreadsheetへ記録したい。Webアプリ側で大事な実装は？</x:v>
      </x:c>
      <x:c r="F100" s="22" t="str">
        <x:v>doPost(e) { const data = JSON.parse(e.postData.contents); }</x:v>
      </x:c>
      <x:c r="G100" s="22" t="str">
        <x:v>GETだけで必ず保存する</x:v>
      </x:c>
      <x:c r="H100" s="22" t="str">
        <x:v>スプレッドシートを手で毎回作り直す</x:v>
      </x:c>
      <x:c r="I100" s="22" t="str">
        <x:v>doPostでJSONを受け取り、行としてappendする</x:v>
      </x:c>
      <x:c r="J100" s="22" t="str">
        <x:v>HTMLのtitleに保存する</x:v>
      </x:c>
      <x:c r="K100" s="27" t="n">
        <x:v>3</x:v>
      </x:c>
      <x:c r="L100" s="22" t="str">
        <x:v>doPostでJSONを受け取り、行としてappendする</x:v>
      </x:c>
      <x:c r="M100" s="22" t="str">
        <x:v>ブラウザから送ったJSONをGAS側で受け取ります。</x:v>
      </x:c>
      <x:c r="N100" s="22" t="str">
        <x:v>fetchで送った学習ログや問題データは、Apps ScriptのdoPostで受け取り、SpreadsheetAppでシートへ追記できます。</x:v>
      </x:c>
      <x:c r="O100" s="22" t="str">
        <x:v>全範囲</x:v>
      </x:c>
      <x:c r="P100" s="23" t="str">
        <x:v>AppsScript,Spreadsheet,エラーログ</x:v>
      </x:c>
    </x:row>
    <x:row r="101" ht="72" customHeight="1">
      <x:c r="A101" s="21" t="str">
        <x:v>FSQ-100</x:v>
      </x:c>
      <x:c r="B101" s="22" t="str">
        <x:v>Spreadsheet連携</x:v>
      </x:c>
      <x:c r="C101" s="22" t="str">
        <x:v>応用</x:v>
      </x:c>
      <x:c r="D101" s="22" t="str">
        <x:v>4択</x:v>
      </x:c>
      <x:c r="E101" s="22" t="str">
        <x:v>弱点復習ログをApps Script経由でSpreadsheetへ記録したい。Webアプリ側で大事な実装は？</x:v>
      </x:c>
      <x:c r="F101" s="22" t="str">
        <x:v>doPost(e) { const data = JSON.parse(e.postData.contents); }</x:v>
      </x:c>
      <x:c r="G101" s="22" t="str">
        <x:v>GETだけで必ず保存する</x:v>
      </x:c>
      <x:c r="H101" s="22" t="str">
        <x:v>スプレッドシートを手で毎回作り直す</x:v>
      </x:c>
      <x:c r="I101" s="22" t="str">
        <x:v>HTMLのtitleに保存する</x:v>
      </x:c>
      <x:c r="J101" s="22" t="str">
        <x:v>doPostでJSONを受け取り、行としてappendする</x:v>
      </x:c>
      <x:c r="K101" s="27" t="n">
        <x:v>4</x:v>
      </x:c>
      <x:c r="L101" s="22" t="str">
        <x:v>doPostでJSONを受け取り、行としてappendする</x:v>
      </x:c>
      <x:c r="M101" s="22" t="str">
        <x:v>ブラウザから送ったJSONをGAS側で受け取ります。</x:v>
      </x:c>
      <x:c r="N101" s="22" t="str">
        <x:v>fetchで送った学習ログや問題データは、Apps ScriptのdoPostで受け取り、SpreadsheetAppでシートへ追記できます。</x:v>
      </x:c>
      <x:c r="O101" s="22" t="str">
        <x:v>全範囲</x:v>
      </x:c>
      <x:c r="P101" s="23" t="str">
        <x:v>AppsScript,Spreadsheet,弱点復習ログ</x:v>
      </x:c>
    </x:row>
    <x:row r="102" ht="72" customHeight="1">
      <x:c r="A102" s="21" t="str">
        <x:v>FSQ-101</x:v>
      </x:c>
      <x:c r="B102" s="22" t="str">
        <x:v>UX</x:v>
      </x:c>
      <x:c r="C102" s="22" t="str">
        <x:v>初級</x:v>
      </x:c>
      <x:c r="D102" s="22" t="str">
        <x:v>4択</x:v>
      </x:c>
      <x:c r="E102" s="22" t="str">
        <x:v>未ログインの状態になったとき、学習サイトの画面として望ましい対応は？</x:v>
      </x:c>
      <x:c r="F102" s="22" t="str"/>
      <x:c r="G102" s="22" t="str">
        <x:v>理由が分かるメッセージを出し、次に取れる行動を示す</x:v>
      </x:c>
      <x:c r="H102" s="22" t="str">
        <x:v>何も表示しない</x:v>
      </x:c>
      <x:c r="I102" s="22" t="str">
        <x:v>成功扱いにする</x:v>
      </x:c>
      <x:c r="J102" s="22" t="str">
        <x:v>無関係なデータを消す</x:v>
      </x:c>
      <x:c r="K102" s="27" t="n">
        <x:v>1</x:v>
      </x:c>
      <x:c r="L102" s="22" t="str">
        <x:v>理由が分かるメッセージを出し、次に取れる行動を示す</x:v>
      </x:c>
      <x:c r="M102" s="22" t="str">
        <x:v>ユーザーが次に何をすればよいか分かることが重要です。</x:v>
      </x:c>
      <x:c r="N102" s="22" t="str">
        <x:v>エラーや空状態では、原因と次の行動が見えると学習が止まりにくくなります。沈黙した失敗は原因調査が難しくなります。</x:v>
      </x:c>
      <x:c r="O102" s="22" t="str">
        <x:v>弱点復習</x:v>
      </x:c>
      <x:c r="P102" s="23" t="str">
        <x:v>UX,未ログイン,エラー表示</x:v>
      </x:c>
    </x:row>
    <x:row r="103" ht="72" customHeight="1">
      <x:c r="A103" s="21" t="str">
        <x:v>FSQ-102</x:v>
      </x:c>
      <x:c r="B103" s="22" t="str">
        <x:v>UX</x:v>
      </x:c>
      <x:c r="C103" s="22" t="str">
        <x:v>初級</x:v>
      </x:c>
      <x:c r="D103" s="22" t="str">
        <x:v>4択</x:v>
      </x:c>
      <x:c r="E103" s="22" t="str">
        <x:v>別ユーザーでログインの状態になったとき、学習サイトの画面として望ましい対応は？</x:v>
      </x:c>
      <x:c r="F103" s="22" t="str"/>
      <x:c r="G103" s="22" t="str">
        <x:v>何も表示しない</x:v>
      </x:c>
      <x:c r="H103" s="22" t="str">
        <x:v>理由が分かるメッセージを出し、次に取れる行動を示す</x:v>
      </x:c>
      <x:c r="I103" s="22" t="str">
        <x:v>成功扱いにする</x:v>
      </x:c>
      <x:c r="J103" s="22" t="str">
        <x:v>無関係なデータを消す</x:v>
      </x:c>
      <x:c r="K103" s="27" t="n">
        <x:v>2</x:v>
      </x:c>
      <x:c r="L103" s="22" t="str">
        <x:v>理由が分かるメッセージを出し、次に取れる行動を示す</x:v>
      </x:c>
      <x:c r="M103" s="22" t="str">
        <x:v>ユーザーが次に何をすればよいか分かることが重要です。</x:v>
      </x:c>
      <x:c r="N103" s="22" t="str">
        <x:v>エラーや空状態では、原因と次の行動が見えると学習が止まりにくくなります。沈黙した失敗は原因調査が難しくなります。</x:v>
      </x:c>
      <x:c r="O103" s="22" t="str">
        <x:v>弱点復習</x:v>
      </x:c>
      <x:c r="P103" s="23" t="str">
        <x:v>UX,別ユーザーでログイン,エラー表示</x:v>
      </x:c>
    </x:row>
    <x:row r="104" ht="72" customHeight="1">
      <x:c r="A104" s="21" t="str">
        <x:v>FSQ-103</x:v>
      </x:c>
      <x:c r="B104" s="22" t="str">
        <x:v>UX</x:v>
      </x:c>
      <x:c r="C104" s="22" t="str">
        <x:v>中級</x:v>
      </x:c>
      <x:c r="D104" s="22" t="str">
        <x:v>4択</x:v>
      </x:c>
      <x:c r="E104" s="22" t="str">
        <x:v>通信失敗の状態になったとき、学習サイトの画面として望ましい対応は？</x:v>
      </x:c>
      <x:c r="F104" s="22" t="str"/>
      <x:c r="G104" s="22" t="str">
        <x:v>何も表示しない</x:v>
      </x:c>
      <x:c r="H104" s="22" t="str">
        <x:v>成功扱いにする</x:v>
      </x:c>
      <x:c r="I104" s="22" t="str">
        <x:v>理由が分かるメッセージを出し、次に取れる行動を示す</x:v>
      </x:c>
      <x:c r="J104" s="22" t="str">
        <x:v>無関係なデータを消す</x:v>
      </x:c>
      <x:c r="K104" s="27" t="n">
        <x:v>3</x:v>
      </x:c>
      <x:c r="L104" s="22" t="str">
        <x:v>理由が分かるメッセージを出し、次に取れる行動を示す</x:v>
      </x:c>
      <x:c r="M104" s="22" t="str">
        <x:v>ユーザーが次に何をすればよいか分かることが重要です。</x:v>
      </x:c>
      <x:c r="N104" s="22" t="str">
        <x:v>エラーや空状態では、原因と次の行動が見えると学習が止まりにくくなります。沈黙した失敗は原因調査が難しくなります。</x:v>
      </x:c>
      <x:c r="O104" s="22" t="str">
        <x:v>弱点復習</x:v>
      </x:c>
      <x:c r="P104" s="23" t="str">
        <x:v>UX,通信失敗,エラー表示</x:v>
      </x:c>
    </x:row>
    <x:row r="105" ht="72" customHeight="1">
      <x:c r="A105" s="21" t="str">
        <x:v>FSQ-104</x:v>
      </x:c>
      <x:c r="B105" s="22" t="str">
        <x:v>UX</x:v>
      </x:c>
      <x:c r="C105" s="22" t="str">
        <x:v>中級</x:v>
      </x:c>
      <x:c r="D105" s="22" t="str">
        <x:v>4択</x:v>
      </x:c>
      <x:c r="E105" s="22" t="str">
        <x:v>問題が空の状態になったとき、学習サイトの画面として望ましい対応は？</x:v>
      </x:c>
      <x:c r="F105" s="22" t="str"/>
      <x:c r="G105" s="22" t="str">
        <x:v>何も表示しない</x:v>
      </x:c>
      <x:c r="H105" s="22" t="str">
        <x:v>成功扱いにする</x:v>
      </x:c>
      <x:c r="I105" s="22" t="str">
        <x:v>無関係なデータを消す</x:v>
      </x:c>
      <x:c r="J105" s="22" t="str">
        <x:v>理由が分かるメッセージを出し、次に取れる行動を示す</x:v>
      </x:c>
      <x:c r="K105" s="27" t="n">
        <x:v>4</x:v>
      </x:c>
      <x:c r="L105" s="22" t="str">
        <x:v>理由が分かるメッセージを出し、次に取れる行動を示す</x:v>
      </x:c>
      <x:c r="M105" s="22" t="str">
        <x:v>ユーザーが次に何をすればよいか分かることが重要です。</x:v>
      </x:c>
      <x:c r="N105" s="22" t="str">
        <x:v>エラーや空状態では、原因と次の行動が見えると学習が止まりにくくなります。沈黙した失敗は原因調査が難しくなります。</x:v>
      </x:c>
      <x:c r="O105" s="22" t="str">
        <x:v>弱点復習</x:v>
      </x:c>
      <x:c r="P105" s="23" t="str">
        <x:v>UX,問題が空,エラー表示</x:v>
      </x:c>
    </x:row>
    <x:row r="106" ht="72" customHeight="1">
      <x:c r="A106" s="21" t="str">
        <x:v>FSQ-105</x:v>
      </x:c>
      <x:c r="B106" s="22" t="str">
        <x:v>UX</x:v>
      </x:c>
      <x:c r="C106" s="22" t="str">
        <x:v>応用</x:v>
      </x:c>
      <x:c r="D106" s="22" t="str">
        <x:v>4択</x:v>
      </x:c>
      <x:c r="E106" s="22" t="str">
        <x:v>選択肢が偏るの状態になったとき、学習サイトの画面として望ましい対応は？</x:v>
      </x:c>
      <x:c r="F106" s="22" t="str"/>
      <x:c r="G106" s="22" t="str">
        <x:v>理由が分かるメッセージを出し、次に取れる行動を示す</x:v>
      </x:c>
      <x:c r="H106" s="22" t="str">
        <x:v>何も表示しない</x:v>
      </x:c>
      <x:c r="I106" s="22" t="str">
        <x:v>成功扱いにする</x:v>
      </x:c>
      <x:c r="J106" s="22" t="str">
        <x:v>無関係なデータを消す</x:v>
      </x:c>
      <x:c r="K106" s="27" t="n">
        <x:v>1</x:v>
      </x:c>
      <x:c r="L106" s="22" t="str">
        <x:v>理由が分かるメッセージを出し、次に取れる行動を示す</x:v>
      </x:c>
      <x:c r="M106" s="22" t="str">
        <x:v>ユーザーが次に何をすればよいか分かることが重要です。</x:v>
      </x:c>
      <x:c r="N106" s="22" t="str">
        <x:v>エラーや空状態では、原因と次の行動が見えると学習が止まりにくくなります。沈黙した失敗は原因調査が難しくなります。</x:v>
      </x:c>
      <x:c r="O106" s="22" t="str">
        <x:v>弱点復習</x:v>
      </x:c>
      <x:c r="P106" s="23" t="str">
        <x:v>UX,選択肢が偏る,エラー表示</x:v>
      </x:c>
    </x:row>
    <x:row r="107" ht="72" customHeight="1">
      <x:c r="A107" s="21" t="str">
        <x:v>FSQ-106</x:v>
      </x:c>
      <x:c r="B107" s="22" t="str">
        <x:v>UX</x:v>
      </x:c>
      <x:c r="C107" s="22" t="str">
        <x:v>初級</x:v>
      </x:c>
      <x:c r="D107" s="22" t="str">
        <x:v>4択</x:v>
      </x:c>
      <x:c r="E107" s="22" t="str">
        <x:v>日付が変わるの状態になったとき、学習サイトの画面として望ましい対応は？</x:v>
      </x:c>
      <x:c r="F107" s="22" t="str"/>
      <x:c r="G107" s="22" t="str">
        <x:v>何も表示しない</x:v>
      </x:c>
      <x:c r="H107" s="22" t="str">
        <x:v>理由が分かるメッセージを出し、次に取れる行動を示す</x:v>
      </x:c>
      <x:c r="I107" s="22" t="str">
        <x:v>成功扱いにする</x:v>
      </x:c>
      <x:c r="J107" s="22" t="str">
        <x:v>無関係なデータを消す</x:v>
      </x:c>
      <x:c r="K107" s="27" t="n">
        <x:v>2</x:v>
      </x:c>
      <x:c r="L107" s="22" t="str">
        <x:v>理由が分かるメッセージを出し、次に取れる行動を示す</x:v>
      </x:c>
      <x:c r="M107" s="22" t="str">
        <x:v>ユーザーが次に何をすればよいか分かることが重要です。</x:v>
      </x:c>
      <x:c r="N107" s="22" t="str">
        <x:v>エラーや空状態では、原因と次の行動が見えると学習が止まりにくくなります。沈黙した失敗は原因調査が難しくなります。</x:v>
      </x:c>
      <x:c r="O107" s="22" t="str">
        <x:v>弱点復習</x:v>
      </x:c>
      <x:c r="P107" s="23" t="str">
        <x:v>UX,日付が変わる,エラー表示</x:v>
      </x:c>
    </x:row>
    <x:row r="108" ht="72" customHeight="1">
      <x:c r="A108" s="21" t="str">
        <x:v>FSQ-107</x:v>
      </x:c>
      <x:c r="B108" s="22" t="str">
        <x:v>UX</x:v>
      </x:c>
      <x:c r="C108" s="22" t="str">
        <x:v>初級</x:v>
      </x:c>
      <x:c r="D108" s="22" t="str">
        <x:v>4択</x:v>
      </x:c>
      <x:c r="E108" s="22" t="str">
        <x:v>復習BOXが空の状態になったとき、学習サイトの画面として望ましい対応は？</x:v>
      </x:c>
      <x:c r="F108" s="22" t="str"/>
      <x:c r="G108" s="22" t="str">
        <x:v>何も表示しない</x:v>
      </x:c>
      <x:c r="H108" s="22" t="str">
        <x:v>成功扱いにする</x:v>
      </x:c>
      <x:c r="I108" s="22" t="str">
        <x:v>理由が分かるメッセージを出し、次に取れる行動を示す</x:v>
      </x:c>
      <x:c r="J108" s="22" t="str">
        <x:v>無関係なデータを消す</x:v>
      </x:c>
      <x:c r="K108" s="27" t="n">
        <x:v>3</x:v>
      </x:c>
      <x:c r="L108" s="22" t="str">
        <x:v>理由が分かるメッセージを出し、次に取れる行動を示す</x:v>
      </x:c>
      <x:c r="M108" s="22" t="str">
        <x:v>ユーザーが次に何をすればよいか分かることが重要です。</x:v>
      </x:c>
      <x:c r="N108" s="22" t="str">
        <x:v>エラーや空状態では、原因と次の行動が見えると学習が止まりにくくなります。沈黙した失敗は原因調査が難しくなります。</x:v>
      </x:c>
      <x:c r="O108" s="22" t="str">
        <x:v>弱点復習</x:v>
      </x:c>
      <x:c r="P108" s="23" t="str">
        <x:v>UX,復習BOXが空,エラー表示</x:v>
      </x:c>
    </x:row>
    <x:row r="109" ht="72" customHeight="1">
      <x:c r="A109" s="21" t="str">
        <x:v>FSQ-108</x:v>
      </x:c>
      <x:c r="B109" s="22" t="str">
        <x:v>UX</x:v>
      </x:c>
      <x:c r="C109" s="22" t="str">
        <x:v>中級</x:v>
      </x:c>
      <x:c r="D109" s="22" t="str">
        <x:v>4択</x:v>
      </x:c>
      <x:c r="E109" s="22" t="str">
        <x:v>回答済みの状態になったとき、学習サイトの画面として望ましい対応は？</x:v>
      </x:c>
      <x:c r="F109" s="22" t="str"/>
      <x:c r="G109" s="22" t="str">
        <x:v>何も表示しない</x:v>
      </x:c>
      <x:c r="H109" s="22" t="str">
        <x:v>成功扱いにする</x:v>
      </x:c>
      <x:c r="I109" s="22" t="str">
        <x:v>無関係なデータを消す</x:v>
      </x:c>
      <x:c r="J109" s="22" t="str">
        <x:v>理由が分かるメッセージを出し、次に取れる行動を示す</x:v>
      </x:c>
      <x:c r="K109" s="27" t="n">
        <x:v>4</x:v>
      </x:c>
      <x:c r="L109" s="22" t="str">
        <x:v>理由が分かるメッセージを出し、次に取れる行動を示す</x:v>
      </x:c>
      <x:c r="M109" s="22" t="str">
        <x:v>ユーザーが次に何をすればよいか分かることが重要です。</x:v>
      </x:c>
      <x:c r="N109" s="22" t="str">
        <x:v>エラーや空状態では、原因と次の行動が見えると学習が止まりにくくなります。沈黙した失敗は原因調査が難しくなります。</x:v>
      </x:c>
      <x:c r="O109" s="22" t="str">
        <x:v>弱点復習</x:v>
      </x:c>
      <x:c r="P109" s="23" t="str">
        <x:v>UX,回答済み,エラー表示</x:v>
      </x:c>
    </x:row>
    <x:row r="110" ht="72" customHeight="1">
      <x:c r="A110" s="21" t="str">
        <x:v>FSQ-109</x:v>
      </x:c>
      <x:c r="B110" s="22" t="str">
        <x:v>UX</x:v>
      </x:c>
      <x:c r="C110" s="22" t="str">
        <x:v>中級</x:v>
      </x:c>
      <x:c r="D110" s="22" t="str">
        <x:v>4択</x:v>
      </x:c>
      <x:c r="E110" s="22" t="str">
        <x:v>送信中の状態になったとき、学習サイトの画面として望ましい対応は？</x:v>
      </x:c>
      <x:c r="F110" s="22" t="str"/>
      <x:c r="G110" s="22" t="str">
        <x:v>理由が分かるメッセージを出し、次に取れる行動を示す</x:v>
      </x:c>
      <x:c r="H110" s="22" t="str">
        <x:v>何も表示しない</x:v>
      </x:c>
      <x:c r="I110" s="22" t="str">
        <x:v>成功扱いにする</x:v>
      </x:c>
      <x:c r="J110" s="22" t="str">
        <x:v>無関係なデータを消す</x:v>
      </x:c>
      <x:c r="K110" s="27" t="n">
        <x:v>1</x:v>
      </x:c>
      <x:c r="L110" s="22" t="str">
        <x:v>理由が分かるメッセージを出し、次に取れる行動を示す</x:v>
      </x:c>
      <x:c r="M110" s="22" t="str">
        <x:v>ユーザーが次に何をすればよいか分かることが重要です。</x:v>
      </x:c>
      <x:c r="N110" s="22" t="str">
        <x:v>エラーや空状態では、原因と次の行動が見えると学習が止まりにくくなります。沈黙した失敗は原因調査が難しくなります。</x:v>
      </x:c>
      <x:c r="O110" s="22" t="str">
        <x:v>弱点復習</x:v>
      </x:c>
      <x:c r="P110" s="23" t="str">
        <x:v>UX,送信中,エラー表示</x:v>
      </x:c>
    </x:row>
    <x:row r="111" ht="72" customHeight="1">
      <x:c r="A111" s="21" t="str">
        <x:v>FSQ-110</x:v>
      </x:c>
      <x:c r="B111" s="22" t="str">
        <x:v>UX</x:v>
      </x:c>
      <x:c r="C111" s="22" t="str">
        <x:v>応用</x:v>
      </x:c>
      <x:c r="D111" s="22" t="str">
        <x:v>4択</x:v>
      </x:c>
      <x:c r="E111" s="22" t="str">
        <x:v>権限不足の状態になったとき、学習サイトの画面として望ましい対応は？</x:v>
      </x:c>
      <x:c r="F111" s="22" t="str"/>
      <x:c r="G111" s="22" t="str">
        <x:v>何も表示しない</x:v>
      </x:c>
      <x:c r="H111" s="22" t="str">
        <x:v>理由が分かるメッセージを出し、次に取れる行動を示す</x:v>
      </x:c>
      <x:c r="I111" s="22" t="str">
        <x:v>成功扱いにする</x:v>
      </x:c>
      <x:c r="J111" s="22" t="str">
        <x:v>無関係なデータを消す</x:v>
      </x:c>
      <x:c r="K111" s="27" t="n">
        <x:v>2</x:v>
      </x:c>
      <x:c r="L111" s="22" t="str">
        <x:v>理由が分かるメッセージを出し、次に取れる行動を示す</x:v>
      </x:c>
      <x:c r="M111" s="22" t="str">
        <x:v>ユーザーが次に何をすればよいか分かることが重要です。</x:v>
      </x:c>
      <x:c r="N111" s="22" t="str">
        <x:v>エラーや空状態では、原因と次の行動が見えると学習が止まりにくくなります。沈黙した失敗は原因調査が難しくなります。</x:v>
      </x:c>
      <x:c r="O111" s="22" t="str">
        <x:v>弱点復習</x:v>
      </x:c>
      <x:c r="P111" s="23" t="str">
        <x:v>UX,権限不足,エラー表示</x:v>
      </x:c>
    </x:row>
    <x:row r="112" ht="72" customHeight="1">
      <x:c r="A112" s="21" t="str">
        <x:v>FSQ-111</x:v>
      </x:c>
      <x:c r="B112" s="22" t="str">
        <x:v>セキュリティ</x:v>
      </x:c>
      <x:c r="C112" s="22" t="str">
        <x:v>初級</x:v>
      </x:c>
      <x:c r="D112" s="22" t="str">
        <x:v>4択</x:v>
      </x:c>
      <x:c r="E112" s="22" t="str">
        <x:v>学籍番号風IDを扱う簡易ログインで注意すべきことは？</x:v>
      </x:c>
      <x:c r="F112" s="22" t="str"/>
      <x:c r="G112" s="22" t="str">
        <x:v>パスワードを画面に常に表示する</x:v>
      </x:c>
      <x:c r="H112" s="22" t="str">
        <x:v>誰でも全履歴を変更できるようにする</x:v>
      </x:c>
      <x:c r="I112" s="22" t="str">
        <x:v>本番の重要データには簡易認証だけを使わず、権限設計を行う</x:v>
      </x:c>
      <x:c r="J112" s="22" t="str">
        <x:v>Security Rulesを考えない</x:v>
      </x:c>
      <x:c r="K112" s="27" t="n">
        <x:v>3</x:v>
      </x:c>
      <x:c r="L112" s="22" t="str">
        <x:v>本番の重要データには簡易認証だけを使わず、権限設計を行う</x:v>
      </x:c>
      <x:c r="M112" s="22" t="str">
        <x:v>デモと本番では必要な安全性が違います。</x:v>
      </x:c>
      <x:c r="N112" s="22" t="str">
        <x:v>簡易ログインはデモには便利ですが、個人情報や重要な業務データでは認証・認可・保存範囲をきちんと設計する必要があります。</x:v>
      </x:c>
      <x:c r="O112" s="22" t="str">
        <x:v>実装判断</x:v>
      </x:c>
      <x:c r="P112" s="23" t="str">
        <x:v>security,login,学籍番号風ID</x:v>
      </x:c>
    </x:row>
    <x:row r="113" ht="72" customHeight="1">
      <x:c r="A113" s="21" t="str">
        <x:v>FSQ-112</x:v>
      </x:c>
      <x:c r="B113" s="22" t="str">
        <x:v>セキュリティ</x:v>
      </x:c>
      <x:c r="C113" s="22" t="str">
        <x:v>初級</x:v>
      </x:c>
      <x:c r="D113" s="22" t="str">
        <x:v>4択</x:v>
      </x:c>
      <x:c r="E113" s="22" t="str">
        <x:v>ランダムIDを扱う簡易ログインで注意すべきことは？</x:v>
      </x:c>
      <x:c r="F113" s="22" t="str"/>
      <x:c r="G113" s="22" t="str">
        <x:v>パスワードを画面に常に表示する</x:v>
      </x:c>
      <x:c r="H113" s="22" t="str">
        <x:v>誰でも全履歴を変更できるようにする</x:v>
      </x:c>
      <x:c r="I113" s="22" t="str">
        <x:v>Security Rulesを考えない</x:v>
      </x:c>
      <x:c r="J113" s="22" t="str">
        <x:v>本番の重要データには簡易認証だけを使わず、権限設計を行う</x:v>
      </x:c>
      <x:c r="K113" s="27" t="n">
        <x:v>4</x:v>
      </x:c>
      <x:c r="L113" s="22" t="str">
        <x:v>本番の重要データには簡易認証だけを使わず、権限設計を行う</x:v>
      </x:c>
      <x:c r="M113" s="22" t="str">
        <x:v>デモと本番では必要な安全性が違います。</x:v>
      </x:c>
      <x:c r="N113" s="22" t="str">
        <x:v>簡易ログインはデモには便利ですが、個人情報や重要な業務データでは認証・認可・保存範囲をきちんと設計する必要があります。</x:v>
      </x:c>
      <x:c r="O113" s="22" t="str">
        <x:v>実装判断</x:v>
      </x:c>
      <x:c r="P113" s="23" t="str">
        <x:v>security,login,ランダムID</x:v>
      </x:c>
    </x:row>
    <x:row r="114" ht="72" customHeight="1">
      <x:c r="A114" s="21" t="str">
        <x:v>FSQ-113</x:v>
      </x:c>
      <x:c r="B114" s="22" t="str">
        <x:v>セキュリティ</x:v>
      </x:c>
      <x:c r="C114" s="22" t="str">
        <x:v>中級</x:v>
      </x:c>
      <x:c r="D114" s="22" t="str">
        <x:v>4択</x:v>
      </x:c>
      <x:c r="E114" s="22" t="str">
        <x:v>スタッフコードを扱う簡易ログインで注意すべきことは？</x:v>
      </x:c>
      <x:c r="F114" s="22" t="str"/>
      <x:c r="G114" s="22" t="str">
        <x:v>本番の重要データには簡易認証だけを使わず、権限設計を行う</x:v>
      </x:c>
      <x:c r="H114" s="22" t="str">
        <x:v>パスワードを画面に常に表示する</x:v>
      </x:c>
      <x:c r="I114" s="22" t="str">
        <x:v>誰でも全履歴を変更できるようにする</x:v>
      </x:c>
      <x:c r="J114" s="22" t="str">
        <x:v>Security Rulesを考えない</x:v>
      </x:c>
      <x:c r="K114" s="27" t="n">
        <x:v>1</x:v>
      </x:c>
      <x:c r="L114" s="22" t="str">
        <x:v>本番の重要データには簡易認証だけを使わず、権限設計を行う</x:v>
      </x:c>
      <x:c r="M114" s="22" t="str">
        <x:v>デモと本番では必要な安全性が違います。</x:v>
      </x:c>
      <x:c r="N114" s="22" t="str">
        <x:v>簡易ログインはデモには便利ですが、個人情報や重要な業務データでは認証・認可・保存範囲をきちんと設計する必要があります。</x:v>
      </x:c>
      <x:c r="O114" s="22" t="str">
        <x:v>実装判断</x:v>
      </x:c>
      <x:c r="P114" s="23" t="str">
        <x:v>security,login,スタッフコード</x:v>
      </x:c>
    </x:row>
    <x:row r="115" ht="72" customHeight="1">
      <x:c r="A115" s="21" t="str">
        <x:v>FSQ-114</x:v>
      </x:c>
      <x:c r="B115" s="22" t="str">
        <x:v>セキュリティ</x:v>
      </x:c>
      <x:c r="C115" s="22" t="str">
        <x:v>中級</x:v>
      </x:c>
      <x:c r="D115" s="22" t="str">
        <x:v>4択</x:v>
      </x:c>
      <x:c r="E115" s="22" t="str">
        <x:v>ブラウザ保存を扱う簡易ログインで注意すべきことは？</x:v>
      </x:c>
      <x:c r="F115" s="22" t="str"/>
      <x:c r="G115" s="22" t="str">
        <x:v>パスワードを画面に常に表示する</x:v>
      </x:c>
      <x:c r="H115" s="22" t="str">
        <x:v>本番の重要データには簡易認証だけを使わず、権限設計を行う</x:v>
      </x:c>
      <x:c r="I115" s="22" t="str">
        <x:v>誰でも全履歴を変更できるようにする</x:v>
      </x:c>
      <x:c r="J115" s="22" t="str">
        <x:v>Security Rulesを考えない</x:v>
      </x:c>
      <x:c r="K115" s="27" t="n">
        <x:v>2</x:v>
      </x:c>
      <x:c r="L115" s="22" t="str">
        <x:v>本番の重要データには簡易認証だけを使わず、権限設計を行う</x:v>
      </x:c>
      <x:c r="M115" s="22" t="str">
        <x:v>デモと本番では必要な安全性が違います。</x:v>
      </x:c>
      <x:c r="N115" s="22" t="str">
        <x:v>簡易ログインはデモには便利ですが、個人情報や重要な業務データでは認証・認可・保存範囲をきちんと設計する必要があります。</x:v>
      </x:c>
      <x:c r="O115" s="22" t="str">
        <x:v>実装判断</x:v>
      </x:c>
      <x:c r="P115" s="23" t="str">
        <x:v>security,login,ブラウザ保存</x:v>
      </x:c>
    </x:row>
    <x:row r="116" ht="72" customHeight="1">
      <x:c r="A116" s="21" t="str">
        <x:v>FSQ-115</x:v>
      </x:c>
      <x:c r="B116" s="22" t="str">
        <x:v>セキュリティ</x:v>
      </x:c>
      <x:c r="C116" s="22" t="str">
        <x:v>応用</x:v>
      </x:c>
      <x:c r="D116" s="22" t="str">
        <x:v>4択</x:v>
      </x:c>
      <x:c r="E116" s="22" t="str">
        <x:v>端末共有を扱う簡易ログインで注意すべきことは？</x:v>
      </x:c>
      <x:c r="F116" s="22" t="str"/>
      <x:c r="G116" s="22" t="str">
        <x:v>パスワードを画面に常に表示する</x:v>
      </x:c>
      <x:c r="H116" s="22" t="str">
        <x:v>誰でも全履歴を変更できるようにする</x:v>
      </x:c>
      <x:c r="I116" s="22" t="str">
        <x:v>本番の重要データには簡易認証だけを使わず、権限設計を行う</x:v>
      </x:c>
      <x:c r="J116" s="22" t="str">
        <x:v>Security Rulesを考えない</x:v>
      </x:c>
      <x:c r="K116" s="27" t="n">
        <x:v>3</x:v>
      </x:c>
      <x:c r="L116" s="22" t="str">
        <x:v>本番の重要データには簡易認証だけを使わず、権限設計を行う</x:v>
      </x:c>
      <x:c r="M116" s="22" t="str">
        <x:v>デモと本番では必要な安全性が違います。</x:v>
      </x:c>
      <x:c r="N116" s="22" t="str">
        <x:v>簡易ログインはデモには便利ですが、個人情報や重要な業務データでは認証・認可・保存範囲をきちんと設計する必要があります。</x:v>
      </x:c>
      <x:c r="O116" s="22" t="str">
        <x:v>実装判断</x:v>
      </x:c>
      <x:c r="P116" s="23" t="str">
        <x:v>security,login,端末共有</x:v>
      </x:c>
    </x:row>
    <x:row r="117" ht="72" customHeight="1">
      <x:c r="A117" s="21" t="str">
        <x:v>FSQ-116</x:v>
      </x:c>
      <x:c r="B117" s="22" t="str">
        <x:v>セキュリティ</x:v>
      </x:c>
      <x:c r="C117" s="22" t="str">
        <x:v>初級</x:v>
      </x:c>
      <x:c r="D117" s="22" t="str">
        <x:v>4択</x:v>
      </x:c>
      <x:c r="E117" s="22" t="str">
        <x:v>ログアウトを扱う簡易ログインで注意すべきことは？</x:v>
      </x:c>
      <x:c r="F117" s="22" t="str"/>
      <x:c r="G117" s="22" t="str">
        <x:v>パスワードを画面に常に表示する</x:v>
      </x:c>
      <x:c r="H117" s="22" t="str">
        <x:v>誰でも全履歴を変更できるようにする</x:v>
      </x:c>
      <x:c r="I117" s="22" t="str">
        <x:v>Security Rulesを考えない</x:v>
      </x:c>
      <x:c r="J117" s="22" t="str">
        <x:v>本番の重要データには簡易認証だけを使わず、権限設計を行う</x:v>
      </x:c>
      <x:c r="K117" s="27" t="n">
        <x:v>4</x:v>
      </x:c>
      <x:c r="L117" s="22" t="str">
        <x:v>本番の重要データには簡易認証だけを使わず、権限設計を行う</x:v>
      </x:c>
      <x:c r="M117" s="22" t="str">
        <x:v>デモと本番では必要な安全性が違います。</x:v>
      </x:c>
      <x:c r="N117" s="22" t="str">
        <x:v>簡易ログインはデモには便利ですが、個人情報や重要な業務データでは認証・認可・保存範囲をきちんと設計する必要があります。</x:v>
      </x:c>
      <x:c r="O117" s="22" t="str">
        <x:v>実装判断</x:v>
      </x:c>
      <x:c r="P117" s="23" t="str">
        <x:v>security,login,ログアウト</x:v>
      </x:c>
    </x:row>
    <x:row r="118" ht="72" customHeight="1">
      <x:c r="A118" s="21" t="str">
        <x:v>FSQ-117</x:v>
      </x:c>
      <x:c r="B118" s="22" t="str">
        <x:v>セキュリティ</x:v>
      </x:c>
      <x:c r="C118" s="22" t="str">
        <x:v>初級</x:v>
      </x:c>
      <x:c r="D118" s="22" t="str">
        <x:v>4択</x:v>
      </x:c>
      <x:c r="E118" s="22" t="str">
        <x:v>別ユーザー履歴を扱う簡易ログインで注意すべきことは？</x:v>
      </x:c>
      <x:c r="F118" s="22" t="str"/>
      <x:c r="G118" s="22" t="str">
        <x:v>本番の重要データには簡易認証だけを使わず、権限設計を行う</x:v>
      </x:c>
      <x:c r="H118" s="22" t="str">
        <x:v>パスワードを画面に常に表示する</x:v>
      </x:c>
      <x:c r="I118" s="22" t="str">
        <x:v>誰でも全履歴を変更できるようにする</x:v>
      </x:c>
      <x:c r="J118" s="22" t="str">
        <x:v>Security Rulesを考えない</x:v>
      </x:c>
      <x:c r="K118" s="27" t="n">
        <x:v>1</x:v>
      </x:c>
      <x:c r="L118" s="22" t="str">
        <x:v>本番の重要データには簡易認証だけを使わず、権限設計を行う</x:v>
      </x:c>
      <x:c r="M118" s="22" t="str">
        <x:v>デモと本番では必要な安全性が違います。</x:v>
      </x:c>
      <x:c r="N118" s="22" t="str">
        <x:v>簡易ログインはデモには便利ですが、個人情報や重要な業務データでは認証・認可・保存範囲をきちんと設計する必要があります。</x:v>
      </x:c>
      <x:c r="O118" s="22" t="str">
        <x:v>実装判断</x:v>
      </x:c>
      <x:c r="P118" s="23" t="str">
        <x:v>security,login,別ユーザー履歴</x:v>
      </x:c>
    </x:row>
    <x:row r="119" ht="72" customHeight="1">
      <x:c r="A119" s="21" t="str">
        <x:v>FSQ-118</x:v>
      </x:c>
      <x:c r="B119" s="22" t="str">
        <x:v>セキュリティ</x:v>
      </x:c>
      <x:c r="C119" s="22" t="str">
        <x:v>中級</x:v>
      </x:c>
      <x:c r="D119" s="22" t="str">
        <x:v>4択</x:v>
      </x:c>
      <x:c r="E119" s="22" t="str">
        <x:v>復習BOXを扱う簡易ログインで注意すべきことは？</x:v>
      </x:c>
      <x:c r="F119" s="22" t="str"/>
      <x:c r="G119" s="22" t="str">
        <x:v>パスワードを画面に常に表示する</x:v>
      </x:c>
      <x:c r="H119" s="22" t="str">
        <x:v>本番の重要データには簡易認証だけを使わず、権限設計を行う</x:v>
      </x:c>
      <x:c r="I119" s="22" t="str">
        <x:v>誰でも全履歴を変更できるようにする</x:v>
      </x:c>
      <x:c r="J119" s="22" t="str">
        <x:v>Security Rulesを考えない</x:v>
      </x:c>
      <x:c r="K119" s="27" t="n">
        <x:v>2</x:v>
      </x:c>
      <x:c r="L119" s="22" t="str">
        <x:v>本番の重要データには簡易認証だけを使わず、権限設計を行う</x:v>
      </x:c>
      <x:c r="M119" s="22" t="str">
        <x:v>デモと本番では必要な安全性が違います。</x:v>
      </x:c>
      <x:c r="N119" s="22" t="str">
        <x:v>簡易ログインはデモには便利ですが、個人情報や重要な業務データでは認証・認可・保存範囲をきちんと設計する必要があります。</x:v>
      </x:c>
      <x:c r="O119" s="22" t="str">
        <x:v>実装判断</x:v>
      </x:c>
      <x:c r="P119" s="23" t="str">
        <x:v>security,login,復習BOX</x:v>
      </x:c>
    </x:row>
    <x:row r="120" ht="72" customHeight="1">
      <x:c r="A120" s="21" t="str">
        <x:v>FSQ-119</x:v>
      </x:c>
      <x:c r="B120" s="22" t="str">
        <x:v>セキュリティ</x:v>
      </x:c>
      <x:c r="C120" s="22" t="str">
        <x:v>中級</x:v>
      </x:c>
      <x:c r="D120" s="22" t="str">
        <x:v>4択</x:v>
      </x:c>
      <x:c r="E120" s="22" t="str">
        <x:v>成績集計を扱う簡易ログインで注意すべきことは？</x:v>
      </x:c>
      <x:c r="F120" s="22" t="str"/>
      <x:c r="G120" s="22" t="str">
        <x:v>パスワードを画面に常に表示する</x:v>
      </x:c>
      <x:c r="H120" s="22" t="str">
        <x:v>誰でも全履歴を変更できるようにする</x:v>
      </x:c>
      <x:c r="I120" s="22" t="str">
        <x:v>本番の重要データには簡易認証だけを使わず、権限設計を行う</x:v>
      </x:c>
      <x:c r="J120" s="22" t="str">
        <x:v>Security Rulesを考えない</x:v>
      </x:c>
      <x:c r="K120" s="27" t="n">
        <x:v>3</x:v>
      </x:c>
      <x:c r="L120" s="22" t="str">
        <x:v>本番の重要データには簡易認証だけを使わず、権限設計を行う</x:v>
      </x:c>
      <x:c r="M120" s="22" t="str">
        <x:v>デモと本番では必要な安全性が違います。</x:v>
      </x:c>
      <x:c r="N120" s="22" t="str">
        <x:v>簡易ログインはデモには便利ですが、個人情報や重要な業務データでは認証・認可・保存範囲をきちんと設計する必要があります。</x:v>
      </x:c>
      <x:c r="O120" s="22" t="str">
        <x:v>実装判断</x:v>
      </x:c>
      <x:c r="P120" s="23" t="str">
        <x:v>security,login,成績集計</x:v>
      </x:c>
    </x:row>
    <x:row r="121" ht="72" customHeight="1">
      <x:c r="A121" s="21" t="str">
        <x:v>FSQ-120</x:v>
      </x:c>
      <x:c r="B121" s="22" t="str">
        <x:v>セキュリティ</x:v>
      </x:c>
      <x:c r="C121" s="22" t="str">
        <x:v>応用</x:v>
      </x:c>
      <x:c r="D121" s="22" t="str">
        <x:v>4択</x:v>
      </x:c>
      <x:c r="E121" s="22" t="str">
        <x:v>回答送信を扱う簡易ログインで注意すべきことは？</x:v>
      </x:c>
      <x:c r="F121" s="22" t="str"/>
      <x:c r="G121" s="22" t="str">
        <x:v>パスワードを画面に常に表示する</x:v>
      </x:c>
      <x:c r="H121" s="22" t="str">
        <x:v>誰でも全履歴を変更できるようにする</x:v>
      </x:c>
      <x:c r="I121" s="22" t="str">
        <x:v>Security Rulesを考えない</x:v>
      </x:c>
      <x:c r="J121" s="22" t="str">
        <x:v>本番の重要データには簡易認証だけを使わず、権限設計を行う</x:v>
      </x:c>
      <x:c r="K121" s="27" t="n">
        <x:v>4</x:v>
      </x:c>
      <x:c r="L121" s="22" t="str">
        <x:v>本番の重要データには簡易認証だけを使わず、権限設計を行う</x:v>
      </x:c>
      <x:c r="M121" s="22" t="str">
        <x:v>デモと本番では必要な安全性が違います。</x:v>
      </x:c>
      <x:c r="N121" s="22" t="str">
        <x:v>簡易ログインはデモには便利ですが、個人情報や重要な業務データでは認証・認可・保存範囲をきちんと設計する必要があります。</x:v>
      </x:c>
      <x:c r="O121" s="22" t="str">
        <x:v>実装判断</x:v>
      </x:c>
      <x:c r="P121" s="23" t="str">
        <x:v>security,login,回答送信</x:v>
      </x:c>
    </x:row>
    <x:row r="122" ht="72" customHeight="1">
      <x:c r="A122" s="21" t="str">
        <x:v>FSQ-121</x:v>
      </x:c>
      <x:c r="B122" s="22" t="str">
        <x:v>KDS</x:v>
      </x:c>
      <x:c r="C122" s="22" t="str">
        <x:v>初級</x:v>
      </x:c>
      <x:c r="D122" s="22" t="str">
        <x:v>4択</x:v>
      </x:c>
      <x:c r="E122" s="22" t="str">
        <x:v>KDSで「注文が多い昼ピーク」を扱いやすくするために重要なデータ設計は？</x:v>
      </x:c>
      <x:c r="F122" s="22" t="str"/>
      <x:c r="G122" s="22" t="str">
        <x:v>注文・商品・状態・時刻を後から追える形で保存する</x:v>
      </x:c>
      <x:c r="H122" s="22" t="str">
        <x:v>画面に表示した文字だけを保存する</x:v>
      </x:c>
      <x:c r="I122" s="22" t="str">
        <x:v>更新のたびに全履歴を消す</x:v>
      </x:c>
      <x:c r="J122" s="22" t="str">
        <x:v>卓番を毎回別形式で保存する</x:v>
      </x:c>
      <x:c r="K122" s="27" t="n">
        <x:v>1</x:v>
      </x:c>
      <x:c r="L122" s="22" t="str">
        <x:v>注文・商品・状態・時刻を後から追える形で保存する</x:v>
      </x:c>
      <x:c r="M122" s="22" t="str">
        <x:v>KDSは状態遷移を扱う画面です。</x:v>
      </x:c>
      <x:c r="N122" s="22" t="str">
        <x:v>KDSでは、どの商品がいつどの状態になったかを扱います。状態と時刻が保存されていれば、並び替えや遅延判定もしやすくなります。</x:v>
      </x:c>
      <x:c r="O122" s="22" t="str">
        <x:v>実装判断</x:v>
      </x:c>
      <x:c r="P122" s="23" t="str">
        <x:v>KDS,注文が多い昼ピーク,状態管理</x:v>
      </x:c>
    </x:row>
    <x:row r="123" ht="72" customHeight="1">
      <x:c r="A123" s="21" t="str">
        <x:v>FSQ-122</x:v>
      </x:c>
      <x:c r="B123" s="22" t="str">
        <x:v>KDS</x:v>
      </x:c>
      <x:c r="C123" s="22" t="str">
        <x:v>初級</x:v>
      </x:c>
      <x:c r="D123" s="22" t="str">
        <x:v>4択</x:v>
      </x:c>
      <x:c r="E123" s="22" t="str">
        <x:v>KDSで「同じ卓から追加注文」を扱いやすくするために重要なデータ設計は？</x:v>
      </x:c>
      <x:c r="F123" s="22" t="str"/>
      <x:c r="G123" s="22" t="str">
        <x:v>画面に表示した文字だけを保存する</x:v>
      </x:c>
      <x:c r="H123" s="22" t="str">
        <x:v>注文・商品・状態・時刻を後から追える形で保存する</x:v>
      </x:c>
      <x:c r="I123" s="22" t="str">
        <x:v>更新のたびに全履歴を消す</x:v>
      </x:c>
      <x:c r="J123" s="22" t="str">
        <x:v>卓番を毎回別形式で保存する</x:v>
      </x:c>
      <x:c r="K123" s="27" t="n">
        <x:v>2</x:v>
      </x:c>
      <x:c r="L123" s="22" t="str">
        <x:v>注文・商品・状態・時刻を後から追える形で保存する</x:v>
      </x:c>
      <x:c r="M123" s="22" t="str">
        <x:v>KDSは状態遷移を扱う画面です。</x:v>
      </x:c>
      <x:c r="N123" s="22" t="str">
        <x:v>KDSでは、どの商品がいつどの状態になったかを扱います。状態と時刻が保存されていれば、並び替えや遅延判定もしやすくなります。</x:v>
      </x:c>
      <x:c r="O123" s="22" t="str">
        <x:v>実装判断</x:v>
      </x:c>
      <x:c r="P123" s="23" t="str">
        <x:v>KDS,同じ卓から追加注文,状態管理</x:v>
      </x:c>
    </x:row>
    <x:row r="124" ht="72" customHeight="1">
      <x:c r="A124" s="21" t="str">
        <x:v>FSQ-123</x:v>
      </x:c>
      <x:c r="B124" s="22" t="str">
        <x:v>KDS</x:v>
      </x:c>
      <x:c r="C124" s="22" t="str">
        <x:v>中級</x:v>
      </x:c>
      <x:c r="D124" s="22" t="str">
        <x:v>4択</x:v>
      </x:c>
      <x:c r="E124" s="22" t="str">
        <x:v>KDSで「提供済みの非表示」を扱いやすくするために重要なデータ設計は？</x:v>
      </x:c>
      <x:c r="F124" s="22" t="str"/>
      <x:c r="G124" s="22" t="str">
        <x:v>画面に表示した文字だけを保存する</x:v>
      </x:c>
      <x:c r="H124" s="22" t="str">
        <x:v>更新のたびに全履歴を消す</x:v>
      </x:c>
      <x:c r="I124" s="22" t="str">
        <x:v>注文・商品・状態・時刻を後から追える形で保存する</x:v>
      </x:c>
      <x:c r="J124" s="22" t="str">
        <x:v>卓番を毎回別形式で保存する</x:v>
      </x:c>
      <x:c r="K124" s="27" t="n">
        <x:v>3</x:v>
      </x:c>
      <x:c r="L124" s="22" t="str">
        <x:v>注文・商品・状態・時刻を後から追える形で保存する</x:v>
      </x:c>
      <x:c r="M124" s="22" t="str">
        <x:v>KDSは状態遷移を扱う画面です。</x:v>
      </x:c>
      <x:c r="N124" s="22" t="str">
        <x:v>KDSでは、どの商品がいつどの状態になったかを扱います。状態と時刻が保存されていれば、並び替えや遅延判定もしやすくなります。</x:v>
      </x:c>
      <x:c r="O124" s="22" t="str">
        <x:v>実装判断</x:v>
      </x:c>
      <x:c r="P124" s="23" t="str">
        <x:v>KDS,提供済みの非表示,状態管理</x:v>
      </x:c>
    </x:row>
    <x:row r="125" ht="72" customHeight="1">
      <x:c r="A125" s="21" t="str">
        <x:v>FSQ-124</x:v>
      </x:c>
      <x:c r="B125" s="22" t="str">
        <x:v>KDS</x:v>
      </x:c>
      <x:c r="C125" s="22" t="str">
        <x:v>中級</x:v>
      </x:c>
      <x:c r="D125" s="22" t="str">
        <x:v>4択</x:v>
      </x:c>
      <x:c r="E125" s="22" t="str">
        <x:v>KDSで「遅延報告」を扱いやすくするために重要なデータ設計は？</x:v>
      </x:c>
      <x:c r="F125" s="22" t="str"/>
      <x:c r="G125" s="22" t="str">
        <x:v>画面に表示した文字だけを保存する</x:v>
      </x:c>
      <x:c r="H125" s="22" t="str">
        <x:v>更新のたびに全履歴を消す</x:v>
      </x:c>
      <x:c r="I125" s="22" t="str">
        <x:v>卓番を毎回別形式で保存する</x:v>
      </x:c>
      <x:c r="J125" s="22" t="str">
        <x:v>注文・商品・状態・時刻を後から追える形で保存する</x:v>
      </x:c>
      <x:c r="K125" s="27" t="n">
        <x:v>4</x:v>
      </x:c>
      <x:c r="L125" s="22" t="str">
        <x:v>注文・商品・状態・時刻を後から追える形で保存する</x:v>
      </x:c>
      <x:c r="M125" s="22" t="str">
        <x:v>KDSは状態遷移を扱う画面です。</x:v>
      </x:c>
      <x:c r="N125" s="22" t="str">
        <x:v>KDSでは、どの商品がいつどの状態になったかを扱います。状態と時刻が保存されていれば、並び替えや遅延判定もしやすくなります。</x:v>
      </x:c>
      <x:c r="O125" s="22" t="str">
        <x:v>実装判断</x:v>
      </x:c>
      <x:c r="P125" s="23" t="str">
        <x:v>KDS,遅延報告,状態管理</x:v>
      </x:c>
    </x:row>
    <x:row r="126" ht="72" customHeight="1">
      <x:c r="A126" s="21" t="str">
        <x:v>FSQ-125</x:v>
      </x:c>
      <x:c r="B126" s="22" t="str">
        <x:v>KDS</x:v>
      </x:c>
      <x:c r="C126" s="22" t="str">
        <x:v>応用</x:v>
      </x:c>
      <x:c r="D126" s="22" t="str">
        <x:v>4択</x:v>
      </x:c>
      <x:c r="E126" s="22" t="str">
        <x:v>KDSで「優先順位変更」を扱いやすくするために重要なデータ設計は？</x:v>
      </x:c>
      <x:c r="F126" s="22" t="str"/>
      <x:c r="G126" s="22" t="str">
        <x:v>注文・商品・状態・時刻を後から追える形で保存する</x:v>
      </x:c>
      <x:c r="H126" s="22" t="str">
        <x:v>画面に表示した文字だけを保存する</x:v>
      </x:c>
      <x:c r="I126" s="22" t="str">
        <x:v>更新のたびに全履歴を消す</x:v>
      </x:c>
      <x:c r="J126" s="22" t="str">
        <x:v>卓番を毎回別形式で保存する</x:v>
      </x:c>
      <x:c r="K126" s="27" t="n">
        <x:v>1</x:v>
      </x:c>
      <x:c r="L126" s="22" t="str">
        <x:v>注文・商品・状態・時刻を後から追える形で保存する</x:v>
      </x:c>
      <x:c r="M126" s="22" t="str">
        <x:v>KDSは状態遷移を扱う画面です。</x:v>
      </x:c>
      <x:c r="N126" s="22" t="str">
        <x:v>KDSでは、どの商品がいつどの状態になったかを扱います。状態と時刻が保存されていれば、並び替えや遅延判定もしやすくなります。</x:v>
      </x:c>
      <x:c r="O126" s="22" t="str">
        <x:v>実装判断</x:v>
      </x:c>
      <x:c r="P126" s="23" t="str">
        <x:v>KDS,優先順位変更,状態管理</x:v>
      </x:c>
    </x:row>
    <x:row r="127" ht="72" customHeight="1">
      <x:c r="A127" s="21" t="str">
        <x:v>FSQ-126</x:v>
      </x:c>
      <x:c r="B127" s="22" t="str">
        <x:v>KDS</x:v>
      </x:c>
      <x:c r="C127" s="22" t="str">
        <x:v>初級</x:v>
      </x:c>
      <x:c r="D127" s="22" t="str">
        <x:v>4択</x:v>
      </x:c>
      <x:c r="E127" s="22" t="str">
        <x:v>KDSで「調理担当切替」を扱いやすくするために重要なデータ設計は？</x:v>
      </x:c>
      <x:c r="F127" s="22" t="str"/>
      <x:c r="G127" s="22" t="str">
        <x:v>画面に表示した文字だけを保存する</x:v>
      </x:c>
      <x:c r="H127" s="22" t="str">
        <x:v>注文・商品・状態・時刻を後から追える形で保存する</x:v>
      </x:c>
      <x:c r="I127" s="22" t="str">
        <x:v>更新のたびに全履歴を消す</x:v>
      </x:c>
      <x:c r="J127" s="22" t="str">
        <x:v>卓番を毎回別形式で保存する</x:v>
      </x:c>
      <x:c r="K127" s="27" t="n">
        <x:v>2</x:v>
      </x:c>
      <x:c r="L127" s="22" t="str">
        <x:v>注文・商品・状態・時刻を後から追える形で保存する</x:v>
      </x:c>
      <x:c r="M127" s="22" t="str">
        <x:v>KDSは状態遷移を扱う画面です。</x:v>
      </x:c>
      <x:c r="N127" s="22" t="str">
        <x:v>KDSでは、どの商品がいつどの状態になったかを扱います。状態と時刻が保存されていれば、並び替えや遅延判定もしやすくなります。</x:v>
      </x:c>
      <x:c r="O127" s="22" t="str">
        <x:v>実装判断</x:v>
      </x:c>
      <x:c r="P127" s="23" t="str">
        <x:v>KDS,調理担当切替,状態管理</x:v>
      </x:c>
    </x:row>
    <x:row r="128" ht="72" customHeight="1">
      <x:c r="A128" s="21" t="str">
        <x:v>FSQ-127</x:v>
      </x:c>
      <x:c r="B128" s="22" t="str">
        <x:v>KDS</x:v>
      </x:c>
      <x:c r="C128" s="22" t="str">
        <x:v>初級</x:v>
      </x:c>
      <x:c r="D128" s="22" t="str">
        <x:v>4択</x:v>
      </x:c>
      <x:c r="E128" s="22" t="str">
        <x:v>KDSで「商品ごとの完了」を扱いやすくするために重要なデータ設計は？</x:v>
      </x:c>
      <x:c r="F128" s="22" t="str"/>
      <x:c r="G128" s="22" t="str">
        <x:v>画面に表示した文字だけを保存する</x:v>
      </x:c>
      <x:c r="H128" s="22" t="str">
        <x:v>更新のたびに全履歴を消す</x:v>
      </x:c>
      <x:c r="I128" s="22" t="str">
        <x:v>注文・商品・状態・時刻を後から追える形で保存する</x:v>
      </x:c>
      <x:c r="J128" s="22" t="str">
        <x:v>卓番を毎回別形式で保存する</x:v>
      </x:c>
      <x:c r="K128" s="27" t="n">
        <x:v>3</x:v>
      </x:c>
      <x:c r="L128" s="22" t="str">
        <x:v>注文・商品・状態・時刻を後から追える形で保存する</x:v>
      </x:c>
      <x:c r="M128" s="22" t="str">
        <x:v>KDSは状態遷移を扱う画面です。</x:v>
      </x:c>
      <x:c r="N128" s="22" t="str">
        <x:v>KDSでは、どの商品がいつどの状態になったかを扱います。状態と時刻が保存されていれば、並び替えや遅延判定もしやすくなります。</x:v>
      </x:c>
      <x:c r="O128" s="22" t="str">
        <x:v>実装判断</x:v>
      </x:c>
      <x:c r="P128" s="23" t="str">
        <x:v>KDS,商品ごとの完了,状態管理</x:v>
      </x:c>
    </x:row>
    <x:row r="129" ht="72" customHeight="1">
      <x:c r="A129" s="21" t="str">
        <x:v>FSQ-128</x:v>
      </x:c>
      <x:c r="B129" s="22" t="str">
        <x:v>KDS</x:v>
      </x:c>
      <x:c r="C129" s="22" t="str">
        <x:v>中級</x:v>
      </x:c>
      <x:c r="D129" s="22" t="str">
        <x:v>4択</x:v>
      </x:c>
      <x:c r="E129" s="22" t="str">
        <x:v>KDSで「厨房モニター」を扱いやすくするために重要なデータ設計は？</x:v>
      </x:c>
      <x:c r="F129" s="22" t="str"/>
      <x:c r="G129" s="22" t="str">
        <x:v>画面に表示した文字だけを保存する</x:v>
      </x:c>
      <x:c r="H129" s="22" t="str">
        <x:v>更新のたびに全履歴を消す</x:v>
      </x:c>
      <x:c r="I129" s="22" t="str">
        <x:v>卓番を毎回別形式で保存する</x:v>
      </x:c>
      <x:c r="J129" s="22" t="str">
        <x:v>注文・商品・状態・時刻を後から追える形で保存する</x:v>
      </x:c>
      <x:c r="K129" s="27" t="n">
        <x:v>4</x:v>
      </x:c>
      <x:c r="L129" s="22" t="str">
        <x:v>注文・商品・状態・時刻を後から追える形で保存する</x:v>
      </x:c>
      <x:c r="M129" s="22" t="str">
        <x:v>KDSは状態遷移を扱う画面です。</x:v>
      </x:c>
      <x:c r="N129" s="22" t="str">
        <x:v>KDSでは、どの商品がいつどの状態になったかを扱います。状態と時刻が保存されていれば、並び替えや遅延判定もしやすくなります。</x:v>
      </x:c>
      <x:c r="O129" s="22" t="str">
        <x:v>実装判断</x:v>
      </x:c>
      <x:c r="P129" s="23" t="str">
        <x:v>KDS,厨房モニター,状態管理</x:v>
      </x:c>
    </x:row>
    <x:row r="130" ht="72" customHeight="1">
      <x:c r="A130" s="21" t="str">
        <x:v>FSQ-129</x:v>
      </x:c>
      <x:c r="B130" s="22" t="str">
        <x:v>KDS</x:v>
      </x:c>
      <x:c r="C130" s="22" t="str">
        <x:v>中級</x:v>
      </x:c>
      <x:c r="D130" s="22" t="str">
        <x:v>4択</x:v>
      </x:c>
      <x:c r="E130" s="22" t="str">
        <x:v>KDSで「テーブル合算」を扱いやすくするために重要なデータ設計は？</x:v>
      </x:c>
      <x:c r="F130" s="22" t="str"/>
      <x:c r="G130" s="22" t="str">
        <x:v>注文・商品・状態・時刻を後から追える形で保存する</x:v>
      </x:c>
      <x:c r="H130" s="22" t="str">
        <x:v>画面に表示した文字だけを保存する</x:v>
      </x:c>
      <x:c r="I130" s="22" t="str">
        <x:v>更新のたびに全履歴を消す</x:v>
      </x:c>
      <x:c r="J130" s="22" t="str">
        <x:v>卓番を毎回別形式で保存する</x:v>
      </x:c>
      <x:c r="K130" s="27" t="n">
        <x:v>1</x:v>
      </x:c>
      <x:c r="L130" s="22" t="str">
        <x:v>注文・商品・状態・時刻を後から追える形で保存する</x:v>
      </x:c>
      <x:c r="M130" s="22" t="str">
        <x:v>KDSは状態遷移を扱う画面です。</x:v>
      </x:c>
      <x:c r="N130" s="22" t="str">
        <x:v>KDSでは、どの商品がいつどの状態になったかを扱います。状態と時刻が保存されていれば、並び替えや遅延判定もしやすくなります。</x:v>
      </x:c>
      <x:c r="O130" s="22" t="str">
        <x:v>実装判断</x:v>
      </x:c>
      <x:c r="P130" s="23" t="str">
        <x:v>KDS,テーブル合算,状態管理</x:v>
      </x:c>
    </x:row>
    <x:row r="131" ht="72" customHeight="1">
      <x:c r="A131" s="21" t="str">
        <x:v>FSQ-130</x:v>
      </x:c>
      <x:c r="B131" s="22" t="str">
        <x:v>KDS</x:v>
      </x:c>
      <x:c r="C131" s="22" t="str">
        <x:v>応用</x:v>
      </x:c>
      <x:c r="D131" s="22" t="str">
        <x:v>4択</x:v>
      </x:c>
      <x:c r="E131" s="22" t="str">
        <x:v>KDSで「伝票分離」を扱いやすくするために重要なデータ設計は？</x:v>
      </x:c>
      <x:c r="F131" s="22" t="str"/>
      <x:c r="G131" s="22" t="str">
        <x:v>画面に表示した文字だけを保存する</x:v>
      </x:c>
      <x:c r="H131" s="22" t="str">
        <x:v>注文・商品・状態・時刻を後から追える形で保存する</x:v>
      </x:c>
      <x:c r="I131" s="22" t="str">
        <x:v>更新のたびに全履歴を消す</x:v>
      </x:c>
      <x:c r="J131" s="22" t="str">
        <x:v>卓番を毎回別形式で保存する</x:v>
      </x:c>
      <x:c r="K131" s="27" t="n">
        <x:v>2</x:v>
      </x:c>
      <x:c r="L131" s="22" t="str">
        <x:v>注文・商品・状態・時刻を後から追える形で保存する</x:v>
      </x:c>
      <x:c r="M131" s="22" t="str">
        <x:v>KDSは状態遷移を扱う画面です。</x:v>
      </x:c>
      <x:c r="N131" s="22" t="str">
        <x:v>KDSでは、どの商品がいつどの状態になったかを扱います。状態と時刻が保存されていれば、並び替えや遅延判定もしやすくなります。</x:v>
      </x:c>
      <x:c r="O131" s="22" t="str">
        <x:v>実装判断</x:v>
      </x:c>
      <x:c r="P131" s="23" t="str">
        <x:v>KDS,伝票分離,状態管理</x:v>
      </x:c>
    </x:row>
    <x:row r="132" ht="72" customHeight="1">
      <x:c r="A132" s="21" t="str">
        <x:v>FSQ-131</x:v>
      </x:c>
      <x:c r="B132" s="22" t="str">
        <x:v>実装判断</x:v>
      </x:c>
      <x:c r="C132" s="22" t="str">
        <x:v>初級</x:v>
      </x:c>
      <x:c r="D132" s="22" t="str">
        <x:v>4択</x:v>
      </x:c>
      <x:c r="E132" s="22" t="str">
        <x:v>在庫数のように複数ユーザーが同時に更新する値を扱う場合、実装判断として重要なのは？</x:v>
      </x:c>
      <x:c r="F132" s="22" t="str"/>
      <x:c r="G132" s="22" t="str">
        <x:v>最後に開いた画面だけ信じる</x:v>
      </x:c>
      <x:c r="H132" s="22" t="str">
        <x:v>常にlocalStorageだけで共有する</x:v>
      </x:c>
      <x:c r="I132" s="22" t="str">
        <x:v>同時更新で値が壊れないようtransactionなどを検討する</x:v>
      </x:c>
      <x:c r="J132" s="22" t="str">
        <x:v>CSSアニメーションで待つ</x:v>
      </x:c>
      <x:c r="K132" s="27" t="n">
        <x:v>3</x:v>
      </x:c>
      <x:c r="L132" s="22" t="str">
        <x:v>同時更新で値が壊れないようtransactionなどを検討する</x:v>
      </x:c>
      <x:c r="M132" s="22" t="str">
        <x:v>同時に書き込まれた場合を想像します。</x:v>
      </x:c>
      <x:c r="N132" s="22" t="str">
        <x:v>複数端末が同じ値を更新する場合、読み取り後に書き戻すだけでは競合が起きます。transactionやサーバー側処理を検討します。</x:v>
      </x:c>
      <x:c r="O132" s="22" t="str">
        <x:v>実装判断</x:v>
      </x:c>
      <x:c r="P132" s="23" t="str">
        <x:v>transaction,同時更新,在庫数</x:v>
      </x:c>
    </x:row>
    <x:row r="133" ht="72" customHeight="1">
      <x:c r="A133" s="21" t="str">
        <x:v>FSQ-132</x:v>
      </x:c>
      <x:c r="B133" s="22" t="str">
        <x:v>実装判断</x:v>
      </x:c>
      <x:c r="C133" s="22" t="str">
        <x:v>初級</x:v>
      </x:c>
      <x:c r="D133" s="22" t="str">
        <x:v>4択</x:v>
      </x:c>
      <x:c r="E133" s="22" t="str">
        <x:v>座席数のように複数ユーザーが同時に更新する値を扱う場合、実装判断として重要なのは？</x:v>
      </x:c>
      <x:c r="F133" s="22" t="str"/>
      <x:c r="G133" s="22" t="str">
        <x:v>最後に開いた画面だけ信じる</x:v>
      </x:c>
      <x:c r="H133" s="22" t="str">
        <x:v>常にlocalStorageだけで共有する</x:v>
      </x:c>
      <x:c r="I133" s="22" t="str">
        <x:v>CSSアニメーションで待つ</x:v>
      </x:c>
      <x:c r="J133" s="22" t="str">
        <x:v>同時更新で値が壊れないようtransactionなどを検討する</x:v>
      </x:c>
      <x:c r="K133" s="27" t="n">
        <x:v>4</x:v>
      </x:c>
      <x:c r="L133" s="22" t="str">
        <x:v>同時更新で値が壊れないようtransactionなどを検討する</x:v>
      </x:c>
      <x:c r="M133" s="22" t="str">
        <x:v>同時に書き込まれた場合を想像します。</x:v>
      </x:c>
      <x:c r="N133" s="22" t="str">
        <x:v>複数端末が同じ値を更新する場合、読み取り後に書き戻すだけでは競合が起きます。transactionやサーバー側処理を検討します。</x:v>
      </x:c>
      <x:c r="O133" s="22" t="str">
        <x:v>実装判断</x:v>
      </x:c>
      <x:c r="P133" s="23" t="str">
        <x:v>transaction,同時更新,座席数</x:v>
      </x:c>
    </x:row>
    <x:row r="134" ht="72" customHeight="1">
      <x:c r="A134" s="21" t="str">
        <x:v>FSQ-133</x:v>
      </x:c>
      <x:c r="B134" s="22" t="str">
        <x:v>実装判断</x:v>
      </x:c>
      <x:c r="C134" s="22" t="str">
        <x:v>中級</x:v>
      </x:c>
      <x:c r="D134" s="22" t="str">
        <x:v>4択</x:v>
      </x:c>
      <x:c r="E134" s="22" t="str">
        <x:v>注文合計のように複数ユーザーが同時に更新する値を扱う場合、実装判断として重要なのは？</x:v>
      </x:c>
      <x:c r="F134" s="22" t="str"/>
      <x:c r="G134" s="22" t="str">
        <x:v>同時更新で値が壊れないようtransactionなどを検討する</x:v>
      </x:c>
      <x:c r="H134" s="22" t="str">
        <x:v>最後に開いた画面だけ信じる</x:v>
      </x:c>
      <x:c r="I134" s="22" t="str">
        <x:v>常にlocalStorageだけで共有する</x:v>
      </x:c>
      <x:c r="J134" s="22" t="str">
        <x:v>CSSアニメーションで待つ</x:v>
      </x:c>
      <x:c r="K134" s="27" t="n">
        <x:v>1</x:v>
      </x:c>
      <x:c r="L134" s="22" t="str">
        <x:v>同時更新で値が壊れないようtransactionなどを検討する</x:v>
      </x:c>
      <x:c r="M134" s="22" t="str">
        <x:v>同時に書き込まれた場合を想像します。</x:v>
      </x:c>
      <x:c r="N134" s="22" t="str">
        <x:v>複数端末が同じ値を更新する場合、読み取り後に書き戻すだけでは競合が起きます。transactionやサーバー側処理を検討します。</x:v>
      </x:c>
      <x:c r="O134" s="22" t="str">
        <x:v>実装判断</x:v>
      </x:c>
      <x:c r="P134" s="23" t="str">
        <x:v>transaction,同時更新,注文合計</x:v>
      </x:c>
    </x:row>
    <x:row r="135" ht="72" customHeight="1">
      <x:c r="A135" s="21" t="str">
        <x:v>FSQ-134</x:v>
      </x:c>
      <x:c r="B135" s="22" t="str">
        <x:v>実装判断</x:v>
      </x:c>
      <x:c r="C135" s="22" t="str">
        <x:v>中級</x:v>
      </x:c>
      <x:c r="D135" s="22" t="str">
        <x:v>4択</x:v>
      </x:c>
      <x:c r="E135" s="22" t="str">
        <x:v>提供数のように複数ユーザーが同時に更新する値を扱う場合、実装判断として重要なのは？</x:v>
      </x:c>
      <x:c r="F135" s="22" t="str"/>
      <x:c r="G135" s="22" t="str">
        <x:v>最後に開いた画面だけ信じる</x:v>
      </x:c>
      <x:c r="H135" s="22" t="str">
        <x:v>同時更新で値が壊れないようtransactionなどを検討する</x:v>
      </x:c>
      <x:c r="I135" s="22" t="str">
        <x:v>常にlocalStorageだけで共有する</x:v>
      </x:c>
      <x:c r="J135" s="22" t="str">
        <x:v>CSSアニメーションで待つ</x:v>
      </x:c>
      <x:c r="K135" s="27" t="n">
        <x:v>2</x:v>
      </x:c>
      <x:c r="L135" s="22" t="str">
        <x:v>同時更新で値が壊れないようtransactionなどを検討する</x:v>
      </x:c>
      <x:c r="M135" s="22" t="str">
        <x:v>同時に書き込まれた場合を想像します。</x:v>
      </x:c>
      <x:c r="N135" s="22" t="str">
        <x:v>複数端末が同じ値を更新する場合、読み取り後に書き戻すだけでは競合が起きます。transactionやサーバー側処理を検討します。</x:v>
      </x:c>
      <x:c r="O135" s="22" t="str">
        <x:v>実装判断</x:v>
      </x:c>
      <x:c r="P135" s="23" t="str">
        <x:v>transaction,同時更新,提供数</x:v>
      </x:c>
    </x:row>
    <x:row r="136" ht="72" customHeight="1">
      <x:c r="A136" s="21" t="str">
        <x:v>FSQ-135</x:v>
      </x:c>
      <x:c r="B136" s="22" t="str">
        <x:v>実装判断</x:v>
      </x:c>
      <x:c r="C136" s="22" t="str">
        <x:v>応用</x:v>
      </x:c>
      <x:c r="D136" s="22" t="str">
        <x:v>4択</x:v>
      </x:c>
      <x:c r="E136" s="22" t="str">
        <x:v>キャンセル数のように複数ユーザーが同時に更新する値を扱う場合、実装判断として重要なのは？</x:v>
      </x:c>
      <x:c r="F136" s="22" t="str"/>
      <x:c r="G136" s="22" t="str">
        <x:v>最後に開いた画面だけ信じる</x:v>
      </x:c>
      <x:c r="H136" s="22" t="str">
        <x:v>常にlocalStorageだけで共有する</x:v>
      </x:c>
      <x:c r="I136" s="22" t="str">
        <x:v>同時更新で値が壊れないようtransactionなどを検討する</x:v>
      </x:c>
      <x:c r="J136" s="22" t="str">
        <x:v>CSSアニメーションで待つ</x:v>
      </x:c>
      <x:c r="K136" s="27" t="n">
        <x:v>3</x:v>
      </x:c>
      <x:c r="L136" s="22" t="str">
        <x:v>同時更新で値が壊れないようtransactionなどを検討する</x:v>
      </x:c>
      <x:c r="M136" s="22" t="str">
        <x:v>同時に書き込まれた場合を想像します。</x:v>
      </x:c>
      <x:c r="N136" s="22" t="str">
        <x:v>複数端末が同じ値を更新する場合、読み取り後に書き戻すだけでは競合が起きます。transactionやサーバー側処理を検討します。</x:v>
      </x:c>
      <x:c r="O136" s="22" t="str">
        <x:v>実装判断</x:v>
      </x:c>
      <x:c r="P136" s="23" t="str">
        <x:v>transaction,同時更新,キャンセル数</x:v>
      </x:c>
    </x:row>
    <x:row r="137" ht="72" customHeight="1">
      <x:c r="A137" s="21" t="str">
        <x:v>FSQ-136</x:v>
      </x:c>
      <x:c r="B137" s="22" t="str">
        <x:v>実装判断</x:v>
      </x:c>
      <x:c r="C137" s="22" t="str">
        <x:v>初級</x:v>
      </x:c>
      <x:c r="D137" s="22" t="str">
        <x:v>4択</x:v>
      </x:c>
      <x:c r="E137" s="22" t="str">
        <x:v>回答回数のように複数ユーザーが同時に更新する値を扱う場合、実装判断として重要なのは？</x:v>
      </x:c>
      <x:c r="F137" s="22" t="str"/>
      <x:c r="G137" s="22" t="str">
        <x:v>最後に開いた画面だけ信じる</x:v>
      </x:c>
      <x:c r="H137" s="22" t="str">
        <x:v>常にlocalStorageだけで共有する</x:v>
      </x:c>
      <x:c r="I137" s="22" t="str">
        <x:v>CSSアニメーションで待つ</x:v>
      </x:c>
      <x:c r="J137" s="22" t="str">
        <x:v>同時更新で値が壊れないようtransactionなどを検討する</x:v>
      </x:c>
      <x:c r="K137" s="27" t="n">
        <x:v>4</x:v>
      </x:c>
      <x:c r="L137" s="22" t="str">
        <x:v>同時更新で値が壊れないようtransactionなどを検討する</x:v>
      </x:c>
      <x:c r="M137" s="22" t="str">
        <x:v>同時に書き込まれた場合を想像します。</x:v>
      </x:c>
      <x:c r="N137" s="22" t="str">
        <x:v>複数端末が同じ値を更新する場合、読み取り後に書き戻すだけでは競合が起きます。transactionやサーバー側処理を検討します。</x:v>
      </x:c>
      <x:c r="O137" s="22" t="str">
        <x:v>実装判断</x:v>
      </x:c>
      <x:c r="P137" s="23" t="str">
        <x:v>transaction,同時更新,回答回数</x:v>
      </x:c>
    </x:row>
    <x:row r="138" ht="72" customHeight="1">
      <x:c r="A138" s="21" t="str">
        <x:v>FSQ-137</x:v>
      </x:c>
      <x:c r="B138" s="22" t="str">
        <x:v>実装判断</x:v>
      </x:c>
      <x:c r="C138" s="22" t="str">
        <x:v>初級</x:v>
      </x:c>
      <x:c r="D138" s="22" t="str">
        <x:v>4択</x:v>
      </x:c>
      <x:c r="E138" s="22" t="str">
        <x:v>正解数のように複数ユーザーが同時に更新する値を扱う場合、実装判断として重要なのは？</x:v>
      </x:c>
      <x:c r="F138" s="22" t="str"/>
      <x:c r="G138" s="22" t="str">
        <x:v>同時更新で値が壊れないようtransactionなどを検討する</x:v>
      </x:c>
      <x:c r="H138" s="22" t="str">
        <x:v>最後に開いた画面だけ信じる</x:v>
      </x:c>
      <x:c r="I138" s="22" t="str">
        <x:v>常にlocalStorageだけで共有する</x:v>
      </x:c>
      <x:c r="J138" s="22" t="str">
        <x:v>CSSアニメーションで待つ</x:v>
      </x:c>
      <x:c r="K138" s="27" t="n">
        <x:v>1</x:v>
      </x:c>
      <x:c r="L138" s="22" t="str">
        <x:v>同時更新で値が壊れないようtransactionなどを検討する</x:v>
      </x:c>
      <x:c r="M138" s="22" t="str">
        <x:v>同時に書き込まれた場合を想像します。</x:v>
      </x:c>
      <x:c r="N138" s="22" t="str">
        <x:v>複数端末が同じ値を更新する場合、読み取り後に書き戻すだけでは競合が起きます。transactionやサーバー側処理を検討します。</x:v>
      </x:c>
      <x:c r="O138" s="22" t="str">
        <x:v>実装判断</x:v>
      </x:c>
      <x:c r="P138" s="23" t="str">
        <x:v>transaction,同時更新,正解数</x:v>
      </x:c>
    </x:row>
    <x:row r="139" ht="72" customHeight="1">
      <x:c r="A139" s="21" t="str">
        <x:v>FSQ-138</x:v>
      </x:c>
      <x:c r="B139" s="22" t="str">
        <x:v>実装判断</x:v>
      </x:c>
      <x:c r="C139" s="22" t="str">
        <x:v>中級</x:v>
      </x:c>
      <x:c r="D139" s="22" t="str">
        <x:v>4択</x:v>
      </x:c>
      <x:c r="E139" s="22" t="str">
        <x:v>弱点数のように複数ユーザーが同時に更新する値を扱う場合、実装判断として重要なのは？</x:v>
      </x:c>
      <x:c r="F139" s="22" t="str"/>
      <x:c r="G139" s="22" t="str">
        <x:v>最後に開いた画面だけ信じる</x:v>
      </x:c>
      <x:c r="H139" s="22" t="str">
        <x:v>同時更新で値が壊れないようtransactionなどを検討する</x:v>
      </x:c>
      <x:c r="I139" s="22" t="str">
        <x:v>常にlocalStorageだけで共有する</x:v>
      </x:c>
      <x:c r="J139" s="22" t="str">
        <x:v>CSSアニメーションで待つ</x:v>
      </x:c>
      <x:c r="K139" s="27" t="n">
        <x:v>2</x:v>
      </x:c>
      <x:c r="L139" s="22" t="str">
        <x:v>同時更新で値が壊れないようtransactionなどを検討する</x:v>
      </x:c>
      <x:c r="M139" s="22" t="str">
        <x:v>同時に書き込まれた場合を想像します。</x:v>
      </x:c>
      <x:c r="N139" s="22" t="str">
        <x:v>複数端末が同じ値を更新する場合、読み取り後に書き戻すだけでは競合が起きます。transactionやサーバー側処理を検討します。</x:v>
      </x:c>
      <x:c r="O139" s="22" t="str">
        <x:v>実装判断</x:v>
      </x:c>
      <x:c r="P139" s="23" t="str">
        <x:v>transaction,同時更新,弱点数</x:v>
      </x:c>
    </x:row>
    <x:row r="140" ht="72" customHeight="1">
      <x:c r="A140" s="21" t="str">
        <x:v>FSQ-139</x:v>
      </x:c>
      <x:c r="B140" s="22" t="str">
        <x:v>実装判断</x:v>
      </x:c>
      <x:c r="C140" s="22" t="str">
        <x:v>中級</x:v>
      </x:c>
      <x:c r="D140" s="22" t="str">
        <x:v>4択</x:v>
      </x:c>
      <x:c r="E140" s="22" t="str">
        <x:v>所要時間のように複数ユーザーが同時に更新する値を扱う場合、実装判断として重要なのは？</x:v>
      </x:c>
      <x:c r="F140" s="22" t="str"/>
      <x:c r="G140" s="22" t="str">
        <x:v>最後に開いた画面だけ信じる</x:v>
      </x:c>
      <x:c r="H140" s="22" t="str">
        <x:v>常にlocalStorageだけで共有する</x:v>
      </x:c>
      <x:c r="I140" s="22" t="str">
        <x:v>同時更新で値が壊れないようtransactionなどを検討する</x:v>
      </x:c>
      <x:c r="J140" s="22" t="str">
        <x:v>CSSアニメーションで待つ</x:v>
      </x:c>
      <x:c r="K140" s="27" t="n">
        <x:v>3</x:v>
      </x:c>
      <x:c r="L140" s="22" t="str">
        <x:v>同時更新で値が壊れないようtransactionなどを検討する</x:v>
      </x:c>
      <x:c r="M140" s="22" t="str">
        <x:v>同時に書き込まれた場合を想像します。</x:v>
      </x:c>
      <x:c r="N140" s="22" t="str">
        <x:v>複数端末が同じ値を更新する場合、読み取り後に書き戻すだけでは競合が起きます。transactionやサーバー側処理を検討します。</x:v>
      </x:c>
      <x:c r="O140" s="22" t="str">
        <x:v>実装判断</x:v>
      </x:c>
      <x:c r="P140" s="23" t="str">
        <x:v>transaction,同時更新,所要時間</x:v>
      </x:c>
    </x:row>
    <x:row r="141" ht="72" customHeight="1">
      <x:c r="A141" s="21" t="str">
        <x:v>FSQ-140</x:v>
      </x:c>
      <x:c r="B141" s="22" t="str">
        <x:v>実装判断</x:v>
      </x:c>
      <x:c r="C141" s="22" t="str">
        <x:v>応用</x:v>
      </x:c>
      <x:c r="D141" s="22" t="str">
        <x:v>4択</x:v>
      </x:c>
      <x:c r="E141" s="22" t="str">
        <x:v>待ち時間のように複数ユーザーが同時に更新する値を扱う場合、実装判断として重要なのは？</x:v>
      </x:c>
      <x:c r="F141" s="22" t="str"/>
      <x:c r="G141" s="22" t="str">
        <x:v>最後に開いた画面だけ信じる</x:v>
      </x:c>
      <x:c r="H141" s="22" t="str">
        <x:v>常にlocalStorageだけで共有する</x:v>
      </x:c>
      <x:c r="I141" s="22" t="str">
        <x:v>CSSアニメーションで待つ</x:v>
      </x:c>
      <x:c r="J141" s="22" t="str">
        <x:v>同時更新で値が壊れないようtransactionなどを検討する</x:v>
      </x:c>
      <x:c r="K141" s="27" t="n">
        <x:v>4</x:v>
      </x:c>
      <x:c r="L141" s="22" t="str">
        <x:v>同時更新で値が壊れないようtransactionなどを検討する</x:v>
      </x:c>
      <x:c r="M141" s="22" t="str">
        <x:v>同時に書き込まれた場合を想像します。</x:v>
      </x:c>
      <x:c r="N141" s="22" t="str">
        <x:v>複数端末が同じ値を更新する場合、読み取り後に書き戻すだけでは競合が起きます。transactionやサーバー側処理を検討します。</x:v>
      </x:c>
      <x:c r="O141" s="22" t="str">
        <x:v>実装判断</x:v>
      </x:c>
      <x:c r="P141" s="23" t="str">
        <x:v>transaction,同時更新,待ち時間</x:v>
      </x:c>
    </x:row>
    <x:row r="142" ht="72" customHeight="1">
      <x:c r="A142" s="21" t="str">
        <x:v>FSQ-141</x:v>
      </x:c>
      <x:c r="B142" s="22" t="str">
        <x:v>運用</x:v>
      </x:c>
      <x:c r="C142" s="22" t="str">
        <x:v>初級</x:v>
      </x:c>
      <x:c r="D142" s="22" t="str">
        <x:v>4択</x:v>
      </x:c>
      <x:c r="E142" s="22" t="str">
        <x:v>初回セットアップの運用で、後から困りにくくするために残しておくとよいものは？</x:v>
      </x:c>
      <x:c r="F142" s="22" t="str"/>
      <x:c r="G142" s="22" t="str">
        <x:v>設定値・変更理由・確認結果のメモ</x:v>
      </x:c>
      <x:c r="H142" s="22" t="str">
        <x:v>記録せず記憶に頼る</x:v>
      </x:c>
      <x:c r="I142" s="22" t="str">
        <x:v>ファイル名を毎回ランダムにする</x:v>
      </x:c>
      <x:c r="J142" s="22" t="str">
        <x:v>失敗ログをすぐ消す</x:v>
      </x:c>
      <x:c r="K142" s="27" t="n">
        <x:v>1</x:v>
      </x:c>
      <x:c r="L142" s="22" t="str">
        <x:v>設定値・変更理由・確認結果のメモ</x:v>
      </x:c>
      <x:c r="M142" s="22" t="str">
        <x:v>未来の自分が読む前提で残します。</x:v>
      </x:c>
      <x:c r="N142" s="22" t="str">
        <x:v>URL、シート名、権限、変更理由、確認結果を残すと、あとで再設定や原因調査をしやすくなります。</x:v>
      </x:c>
      <x:c r="O142" s="22" t="str">
        <x:v>弱点復習</x:v>
      </x:c>
      <x:c r="P142" s="23" t="str">
        <x:v>運用,初回セットアップ,記録</x:v>
      </x:c>
    </x:row>
    <x:row r="143" ht="72" customHeight="1">
      <x:c r="A143" s="21" t="str">
        <x:v>FSQ-142</x:v>
      </x:c>
      <x:c r="B143" s="22" t="str">
        <x:v>運用</x:v>
      </x:c>
      <x:c r="C143" s="22" t="str">
        <x:v>初級</x:v>
      </x:c>
      <x:c r="D143" s="22" t="str">
        <x:v>4択</x:v>
      </x:c>
      <x:c r="E143" s="22" t="str">
        <x:v>デモ発表の運用で、後から困りにくくするために残しておくとよいものは？</x:v>
      </x:c>
      <x:c r="F143" s="22" t="str"/>
      <x:c r="G143" s="22" t="str">
        <x:v>記録せず記憶に頼る</x:v>
      </x:c>
      <x:c r="H143" s="22" t="str">
        <x:v>設定値・変更理由・確認結果のメモ</x:v>
      </x:c>
      <x:c r="I143" s="22" t="str">
        <x:v>ファイル名を毎回ランダムにする</x:v>
      </x:c>
      <x:c r="J143" s="22" t="str">
        <x:v>失敗ログをすぐ消す</x:v>
      </x:c>
      <x:c r="K143" s="27" t="n">
        <x:v>2</x:v>
      </x:c>
      <x:c r="L143" s="22" t="str">
        <x:v>設定値・変更理由・確認結果のメモ</x:v>
      </x:c>
      <x:c r="M143" s="22" t="str">
        <x:v>未来の自分が読む前提で残します。</x:v>
      </x:c>
      <x:c r="N143" s="22" t="str">
        <x:v>URL、シート名、権限、変更理由、確認結果を残すと、あとで再設定や原因調査をしやすくなります。</x:v>
      </x:c>
      <x:c r="O143" s="22" t="str">
        <x:v>弱点復習</x:v>
      </x:c>
      <x:c r="P143" s="23" t="str">
        <x:v>運用,デモ発表,記録</x:v>
      </x:c>
    </x:row>
    <x:row r="144" ht="72" customHeight="1">
      <x:c r="A144" s="21" t="str">
        <x:v>FSQ-143</x:v>
      </x:c>
      <x:c r="B144" s="22" t="str">
        <x:v>運用</x:v>
      </x:c>
      <x:c r="C144" s="22" t="str">
        <x:v>中級</x:v>
      </x:c>
      <x:c r="D144" s="22" t="str">
        <x:v>4択</x:v>
      </x:c>
      <x:c r="E144" s="22" t="str">
        <x:v>本番移行の運用で、後から困りにくくするために残しておくとよいものは？</x:v>
      </x:c>
      <x:c r="F144" s="22" t="str"/>
      <x:c r="G144" s="22" t="str">
        <x:v>記録せず記憶に頼る</x:v>
      </x:c>
      <x:c r="H144" s="22" t="str">
        <x:v>ファイル名を毎回ランダムにする</x:v>
      </x:c>
      <x:c r="I144" s="22" t="str">
        <x:v>設定値・変更理由・確認結果のメモ</x:v>
      </x:c>
      <x:c r="J144" s="22" t="str">
        <x:v>失敗ログをすぐ消す</x:v>
      </x:c>
      <x:c r="K144" s="27" t="n">
        <x:v>3</x:v>
      </x:c>
      <x:c r="L144" s="22" t="str">
        <x:v>設定値・変更理由・確認結果のメモ</x:v>
      </x:c>
      <x:c r="M144" s="22" t="str">
        <x:v>未来の自分が読む前提で残します。</x:v>
      </x:c>
      <x:c r="N144" s="22" t="str">
        <x:v>URL、シート名、権限、変更理由、確認結果を残すと、あとで再設定や原因調査をしやすくなります。</x:v>
      </x:c>
      <x:c r="O144" s="22" t="str">
        <x:v>弱点復習</x:v>
      </x:c>
      <x:c r="P144" s="23" t="str">
        <x:v>運用,本番移行,記録</x:v>
      </x:c>
    </x:row>
    <x:row r="145" ht="72" customHeight="1">
      <x:c r="A145" s="21" t="str">
        <x:v>FSQ-144</x:v>
      </x:c>
      <x:c r="B145" s="22" t="str">
        <x:v>運用</x:v>
      </x:c>
      <x:c r="C145" s="22" t="str">
        <x:v>中級</x:v>
      </x:c>
      <x:c r="D145" s="22" t="str">
        <x:v>4択</x:v>
      </x:c>
      <x:c r="E145" s="22" t="str">
        <x:v>権限追加の運用で、後から困りにくくするために残しておくとよいものは？</x:v>
      </x:c>
      <x:c r="F145" s="22" t="str"/>
      <x:c r="G145" s="22" t="str">
        <x:v>記録せず記憶に頼る</x:v>
      </x:c>
      <x:c r="H145" s="22" t="str">
        <x:v>ファイル名を毎回ランダムにする</x:v>
      </x:c>
      <x:c r="I145" s="22" t="str">
        <x:v>失敗ログをすぐ消す</x:v>
      </x:c>
      <x:c r="J145" s="22" t="str">
        <x:v>設定値・変更理由・確認結果のメモ</x:v>
      </x:c>
      <x:c r="K145" s="27" t="n">
        <x:v>4</x:v>
      </x:c>
      <x:c r="L145" s="22" t="str">
        <x:v>設定値・変更理由・確認結果のメモ</x:v>
      </x:c>
      <x:c r="M145" s="22" t="str">
        <x:v>未来の自分が読む前提で残します。</x:v>
      </x:c>
      <x:c r="N145" s="22" t="str">
        <x:v>URL、シート名、権限、変更理由、確認結果を残すと、あとで再設定や原因調査をしやすくなります。</x:v>
      </x:c>
      <x:c r="O145" s="22" t="str">
        <x:v>弱点復習</x:v>
      </x:c>
      <x:c r="P145" s="23" t="str">
        <x:v>運用,権限追加,記録</x:v>
      </x:c>
    </x:row>
    <x:row r="146" ht="72" customHeight="1">
      <x:c r="A146" s="21" t="str">
        <x:v>FSQ-145</x:v>
      </x:c>
      <x:c r="B146" s="22" t="str">
        <x:v>運用</x:v>
      </x:c>
      <x:c r="C146" s="22" t="str">
        <x:v>応用</x:v>
      </x:c>
      <x:c r="D146" s="22" t="str">
        <x:v>4択</x:v>
      </x:c>
      <x:c r="E146" s="22" t="str">
        <x:v>問題追加の運用で、後から困りにくくするために残しておくとよいものは？</x:v>
      </x:c>
      <x:c r="F146" s="22" t="str"/>
      <x:c r="G146" s="22" t="str">
        <x:v>設定値・変更理由・確認結果のメモ</x:v>
      </x:c>
      <x:c r="H146" s="22" t="str">
        <x:v>記録せず記憶に頼る</x:v>
      </x:c>
      <x:c r="I146" s="22" t="str">
        <x:v>ファイル名を毎回ランダムにする</x:v>
      </x:c>
      <x:c r="J146" s="22" t="str">
        <x:v>失敗ログをすぐ消す</x:v>
      </x:c>
      <x:c r="K146" s="27" t="n">
        <x:v>1</x:v>
      </x:c>
      <x:c r="L146" s="22" t="str">
        <x:v>設定値・変更理由・確認結果のメモ</x:v>
      </x:c>
      <x:c r="M146" s="22" t="str">
        <x:v>未来の自分が読む前提で残します。</x:v>
      </x:c>
      <x:c r="N146" s="22" t="str">
        <x:v>URL、シート名、権限、変更理由、確認結果を残すと、あとで再設定や原因調査をしやすくなります。</x:v>
      </x:c>
      <x:c r="O146" s="22" t="str">
        <x:v>弱点復習</x:v>
      </x:c>
      <x:c r="P146" s="23" t="str">
        <x:v>運用,問題追加,記録</x:v>
      </x:c>
    </x:row>
    <x:row r="147" ht="72" customHeight="1">
      <x:c r="A147" s="21" t="str">
        <x:v>FSQ-146</x:v>
      </x:c>
      <x:c r="B147" s="22" t="str">
        <x:v>運用</x:v>
      </x:c>
      <x:c r="C147" s="22" t="str">
        <x:v>初級</x:v>
      </x:c>
      <x:c r="D147" s="22" t="str">
        <x:v>4択</x:v>
      </x:c>
      <x:c r="E147" s="22" t="str">
        <x:v>ログ確認の運用で、後から困りにくくするために残しておくとよいものは？</x:v>
      </x:c>
      <x:c r="F147" s="22" t="str"/>
      <x:c r="G147" s="22" t="str">
        <x:v>記録せず記憶に頼る</x:v>
      </x:c>
      <x:c r="H147" s="22" t="str">
        <x:v>設定値・変更理由・確認結果のメモ</x:v>
      </x:c>
      <x:c r="I147" s="22" t="str">
        <x:v>ファイル名を毎回ランダムにする</x:v>
      </x:c>
      <x:c r="J147" s="22" t="str">
        <x:v>失敗ログをすぐ消す</x:v>
      </x:c>
      <x:c r="K147" s="27" t="n">
        <x:v>2</x:v>
      </x:c>
      <x:c r="L147" s="22" t="str">
        <x:v>設定値・変更理由・確認結果のメモ</x:v>
      </x:c>
      <x:c r="M147" s="22" t="str">
        <x:v>未来の自分が読む前提で残します。</x:v>
      </x:c>
      <x:c r="N147" s="22" t="str">
        <x:v>URL、シート名、権限、変更理由、確認結果を残すと、あとで再設定や原因調査をしやすくなります。</x:v>
      </x:c>
      <x:c r="O147" s="22" t="str">
        <x:v>弱点復習</x:v>
      </x:c>
      <x:c r="P147" s="23" t="str">
        <x:v>運用,ログ確認,記録</x:v>
      </x:c>
    </x:row>
    <x:row r="148" ht="72" customHeight="1">
      <x:c r="A148" s="21" t="str">
        <x:v>FSQ-147</x:v>
      </x:c>
      <x:c r="B148" s="22" t="str">
        <x:v>運用</x:v>
      </x:c>
      <x:c r="C148" s="22" t="str">
        <x:v>初級</x:v>
      </x:c>
      <x:c r="D148" s="22" t="str">
        <x:v>4択</x:v>
      </x:c>
      <x:c r="E148" s="22" t="str">
        <x:v>障害調査の運用で、後から困りにくくするために残しておくとよいものは？</x:v>
      </x:c>
      <x:c r="F148" s="22" t="str"/>
      <x:c r="G148" s="22" t="str">
        <x:v>記録せず記憶に頼る</x:v>
      </x:c>
      <x:c r="H148" s="22" t="str">
        <x:v>ファイル名を毎回ランダムにする</x:v>
      </x:c>
      <x:c r="I148" s="22" t="str">
        <x:v>設定値・変更理由・確認結果のメモ</x:v>
      </x:c>
      <x:c r="J148" s="22" t="str">
        <x:v>失敗ログをすぐ消す</x:v>
      </x:c>
      <x:c r="K148" s="27" t="n">
        <x:v>3</x:v>
      </x:c>
      <x:c r="L148" s="22" t="str">
        <x:v>設定値・変更理由・確認結果のメモ</x:v>
      </x:c>
      <x:c r="M148" s="22" t="str">
        <x:v>未来の自分が読む前提で残します。</x:v>
      </x:c>
      <x:c r="N148" s="22" t="str">
        <x:v>URL、シート名、権限、変更理由、確認結果を残すと、あとで再設定や原因調査をしやすくなります。</x:v>
      </x:c>
      <x:c r="O148" s="22" t="str">
        <x:v>弱点復習</x:v>
      </x:c>
      <x:c r="P148" s="23" t="str">
        <x:v>運用,障害調査,記録</x:v>
      </x:c>
    </x:row>
    <x:row r="149" ht="72" customHeight="1">
      <x:c r="A149" s="21" t="str">
        <x:v>FSQ-148</x:v>
      </x:c>
      <x:c r="B149" s="22" t="str">
        <x:v>運用</x:v>
      </x:c>
      <x:c r="C149" s="22" t="str">
        <x:v>中級</x:v>
      </x:c>
      <x:c r="D149" s="22" t="str">
        <x:v>4択</x:v>
      </x:c>
      <x:c r="E149" s="22" t="str">
        <x:v>URL更新の運用で、後から困りにくくするために残しておくとよいものは？</x:v>
      </x:c>
      <x:c r="F149" s="22" t="str"/>
      <x:c r="G149" s="22" t="str">
        <x:v>記録せず記憶に頼る</x:v>
      </x:c>
      <x:c r="H149" s="22" t="str">
        <x:v>ファイル名を毎回ランダムにする</x:v>
      </x:c>
      <x:c r="I149" s="22" t="str">
        <x:v>失敗ログをすぐ消す</x:v>
      </x:c>
      <x:c r="J149" s="22" t="str">
        <x:v>設定値・変更理由・確認結果のメモ</x:v>
      </x:c>
      <x:c r="K149" s="27" t="n">
        <x:v>4</x:v>
      </x:c>
      <x:c r="L149" s="22" t="str">
        <x:v>設定値・変更理由・確認結果のメモ</x:v>
      </x:c>
      <x:c r="M149" s="22" t="str">
        <x:v>未来の自分が読む前提で残します。</x:v>
      </x:c>
      <x:c r="N149" s="22" t="str">
        <x:v>URL、シート名、権限、変更理由、確認結果を残すと、あとで再設定や原因調査をしやすくなります。</x:v>
      </x:c>
      <x:c r="O149" s="22" t="str">
        <x:v>弱点復習</x:v>
      </x:c>
      <x:c r="P149" s="23" t="str">
        <x:v>運用,URL更新,記録</x:v>
      </x:c>
    </x:row>
    <x:row r="150" ht="72" customHeight="1">
      <x:c r="A150" s="21" t="str">
        <x:v>FSQ-149</x:v>
      </x:c>
      <x:c r="B150" s="22" t="str">
        <x:v>運用</x:v>
      </x:c>
      <x:c r="C150" s="22" t="str">
        <x:v>中級</x:v>
      </x:c>
      <x:c r="D150" s="22" t="str">
        <x:v>4択</x:v>
      </x:c>
      <x:c r="E150" s="22" t="str">
        <x:v>バックアップの運用で、後から困りにくくするために残しておくとよいものは？</x:v>
      </x:c>
      <x:c r="F150" s="22" t="str"/>
      <x:c r="G150" s="22" t="str">
        <x:v>設定値・変更理由・確認結果のメモ</x:v>
      </x:c>
      <x:c r="H150" s="22" t="str">
        <x:v>記録せず記憶に頼る</x:v>
      </x:c>
      <x:c r="I150" s="22" t="str">
        <x:v>ファイル名を毎回ランダムにする</x:v>
      </x:c>
      <x:c r="J150" s="22" t="str">
        <x:v>失敗ログをすぐ消す</x:v>
      </x:c>
      <x:c r="K150" s="27" t="n">
        <x:v>1</x:v>
      </x:c>
      <x:c r="L150" s="22" t="str">
        <x:v>設定値・変更理由・確認結果のメモ</x:v>
      </x:c>
      <x:c r="M150" s="22" t="str">
        <x:v>未来の自分が読む前提で残します。</x:v>
      </x:c>
      <x:c r="N150" s="22" t="str">
        <x:v>URL、シート名、権限、変更理由、確認結果を残すと、あとで再設定や原因調査をしやすくなります。</x:v>
      </x:c>
      <x:c r="O150" s="22" t="str">
        <x:v>弱点復習</x:v>
      </x:c>
      <x:c r="P150" s="23" t="str">
        <x:v>運用,バックアップ,記録</x:v>
      </x:c>
    </x:row>
    <x:row r="151" ht="72" customHeight="1">
      <x:c r="A151" s="21" t="str">
        <x:v>FSQ-150</x:v>
      </x:c>
      <x:c r="B151" s="22" t="str">
        <x:v>運用</x:v>
      </x:c>
      <x:c r="C151" s="22" t="str">
        <x:v>応用</x:v>
      </x:c>
      <x:c r="D151" s="22" t="str">
        <x:v>4択</x:v>
      </x:c>
      <x:c r="E151" s="22" t="str">
        <x:v>利用者追加の運用で、後から困りにくくするために残しておくとよいものは？</x:v>
      </x:c>
      <x:c r="F151" s="22" t="str"/>
      <x:c r="G151" s="22" t="str">
        <x:v>記録せず記憶に頼る</x:v>
      </x:c>
      <x:c r="H151" s="22" t="str">
        <x:v>設定値・変更理由・確認結果のメモ</x:v>
      </x:c>
      <x:c r="I151" s="22" t="str">
        <x:v>ファイル名を毎回ランダムにする</x:v>
      </x:c>
      <x:c r="J151" s="22" t="str">
        <x:v>失敗ログをすぐ消す</x:v>
      </x:c>
      <x:c r="K151" s="27" t="n">
        <x:v>2</x:v>
      </x:c>
      <x:c r="L151" s="22" t="str">
        <x:v>設定値・変更理由・確認結果のメモ</x:v>
      </x:c>
      <x:c r="M151" s="22" t="str">
        <x:v>未来の自分が読む前提で残します。</x:v>
      </x:c>
      <x:c r="N151" s="22" t="str">
        <x:v>URL、シート名、権限、変更理由、確認結果を残すと、あとで再設定や原因調査をしやすくなります。</x:v>
      </x:c>
      <x:c r="O151" s="22" t="str">
        <x:v>弱点復習</x:v>
      </x:c>
      <x:c r="P151" s="23" t="str">
        <x:v>運用,利用者追加,記録</x:v>
      </x:c>
    </x:row>
    <x:row r="152" ht="72" customHeight="1">
      <x:c r="A152" s="21" t="str">
        <x:v>FSQ-151</x:v>
      </x:c>
      <x:c r="B152" s="22" t="str">
        <x:v>基本操作</x:v>
      </x:c>
      <x:c r="C152" s="22" t="str">
        <x:v>初級</x:v>
      </x:c>
      <x:c r="D152" s="22" t="str">
        <x:v>4択</x:v>
      </x:c>
      <x:c r="E152" s="22" t="str">
        <x:v>Firestore API「addDoc」の役割として最も近いものは？</x:v>
      </x:c>
      <x:c r="F152" s="22" t="str"/>
      <x:c r="G152" s="22" t="str">
        <x:v>HTML要素を作成する</x:v>
      </x:c>
      <x:c r="H152" s="22" t="str">
        <x:v>Firestoreの料金を必ず0円にする</x:v>
      </x:c>
      <x:c r="I152" s="22" t="str">
        <x:v>新しいドキュメントを自動IDで追加する</x:v>
      </x:c>
      <x:c r="J152" s="22" t="str">
        <x:v>何も表示しない</x:v>
      </x:c>
      <x:c r="K152" s="27" t="n">
        <x:v>3</x:v>
      </x:c>
      <x:c r="L152" s="22" t="str">
        <x:v>新しいドキュメントを自動IDで追加する</x:v>
      </x:c>
      <x:c r="M152" s="22" t="str">
        <x:v>API名の動詞に注目します。</x:v>
      </x:c>
      <x:c r="N152" s="22" t="str">
        <x:v>addDocはFirestore操作の基本部品です。追加・取得・更新・削除・参照作成など、役割を分けて覚えると実装判断が速くなります。</x:v>
      </x:c>
      <x:c r="O152" s="22" t="str">
        <x:v>全範囲</x:v>
      </x:c>
      <x:c r="P152" s="23" t="str">
        <x:v>Firestore,API,addDoc</x:v>
      </x:c>
    </x:row>
    <x:row r="153" ht="72" customHeight="1">
      <x:c r="A153" s="21" t="str">
        <x:v>FSQ-152</x:v>
      </x:c>
      <x:c r="B153" s="22" t="str">
        <x:v>基本操作</x:v>
      </x:c>
      <x:c r="C153" s="22" t="str">
        <x:v>初級</x:v>
      </x:c>
      <x:c r="D153" s="22" t="str">
        <x:v>4択</x:v>
      </x:c>
      <x:c r="E153" s="22" t="str">
        <x:v>Firestore API「getDocs」の役割として最も近いものは？</x:v>
      </x:c>
      <x:c r="F153" s="22" t="str"/>
      <x:c r="G153" s="22" t="str">
        <x:v>ログイン画面だけを表示する</x:v>
      </x:c>
      <x:c r="H153" s="22" t="str">
        <x:v>ブラウザの戻るボタンを無効化する</x:v>
      </x:c>
      <x:c r="I153" s="22" t="str">
        <x:v>関係ない注文を更新する</x:v>
      </x:c>
      <x:c r="J153" s="22" t="str">
        <x:v>クエリ結果を一度だけ取得する</x:v>
      </x:c>
      <x:c r="K153" s="27" t="n">
        <x:v>4</x:v>
      </x:c>
      <x:c r="L153" s="22" t="str">
        <x:v>クエリ結果を一度だけ取得する</x:v>
      </x:c>
      <x:c r="M153" s="22" t="str">
        <x:v>API名の動詞に注目します。</x:v>
      </x:c>
      <x:c r="N153" s="22" t="str">
        <x:v>getDocsはFirestore操作の基本部品です。追加・取得・更新・削除・参照作成など、役割を分けて覚えると実装判断が速くなります。</x:v>
      </x:c>
      <x:c r="O153" s="22" t="str">
        <x:v>全範囲</x:v>
      </x:c>
      <x:c r="P153" s="23" t="str">
        <x:v>Firestore,API,getDocs</x:v>
      </x:c>
    </x:row>
    <x:row r="154" ht="72" customHeight="1">
      <x:c r="A154" s="21" t="str">
        <x:v>FSQ-153</x:v>
      </x:c>
      <x:c r="B154" s="22" t="str">
        <x:v>基本操作</x:v>
      </x:c>
      <x:c r="C154" s="22" t="str">
        <x:v>中級</x:v>
      </x:c>
      <x:c r="D154" s="22" t="str">
        <x:v>4択</x:v>
      </x:c>
      <x:c r="E154" s="22" t="str">
        <x:v>Firestore API「updateDoc」の役割として最も近いものは？</x:v>
      </x:c>
      <x:c r="F154" s="22" t="str"/>
      <x:c r="G154" s="22" t="str">
        <x:v>既存ドキュメントの一部を更新する</x:v>
      </x:c>
      <x:c r="H154" s="22" t="str">
        <x:v>Spreadsheetの列幅だけを変える</x:v>
      </x:c>
      <x:c r="I154" s="22" t="str">
        <x:v>全ユーザーの権限を自動で安全にする</x:v>
      </x:c>
      <x:c r="J154" s="22" t="str">
        <x:v>背景色を変える</x:v>
      </x:c>
      <x:c r="K154" s="27" t="n">
        <x:v>1</x:v>
      </x:c>
      <x:c r="L154" s="22" t="str">
        <x:v>既存ドキュメントの一部を更新する</x:v>
      </x:c>
      <x:c r="M154" s="22" t="str">
        <x:v>API名の動詞に注目します。</x:v>
      </x:c>
      <x:c r="N154" s="22" t="str">
        <x:v>updateDocはFirestore操作の基本部品です。追加・取得・更新・削除・参照作成など、役割を分けて覚えると実装判断が速くなります。</x:v>
      </x:c>
      <x:c r="O154" s="22" t="str">
        <x:v>全範囲</x:v>
      </x:c>
      <x:c r="P154" s="23" t="str">
        <x:v>Firestore,API,updateDoc</x:v>
      </x:c>
    </x:row>
    <x:row r="155" ht="72" customHeight="1">
      <x:c r="A155" s="21" t="str">
        <x:v>FSQ-154</x:v>
      </x:c>
      <x:c r="B155" s="22" t="str">
        <x:v>基本操作</x:v>
      </x:c>
      <x:c r="C155" s="22" t="str">
        <x:v>中級</x:v>
      </x:c>
      <x:c r="D155" s="22" t="str">
        <x:v>4択</x:v>
      </x:c>
      <x:c r="E155" s="22" t="str">
        <x:v>Firestore API「deleteDoc」の役割として最も近いものは？</x:v>
      </x:c>
      <x:c r="F155" s="22" t="str"/>
      <x:c r="G155" s="22" t="str">
        <x:v>Spreadsheetの列幅だけを変える</x:v>
      </x:c>
      <x:c r="H155" s="22" t="str">
        <x:v>指定ドキュメントを削除する</x:v>
      </x:c>
      <x:c r="I155" s="22" t="str">
        <x:v>全ユーザーの権限を自動で安全にする</x:v>
      </x:c>
      <x:c r="J155" s="22" t="str">
        <x:v>背景色を変える</x:v>
      </x:c>
      <x:c r="K155" s="27" t="n">
        <x:v>2</x:v>
      </x:c>
      <x:c r="L155" s="22" t="str">
        <x:v>指定ドキュメントを削除する</x:v>
      </x:c>
      <x:c r="M155" s="22" t="str">
        <x:v>API名の動詞に注目します。</x:v>
      </x:c>
      <x:c r="N155" s="22" t="str">
        <x:v>deleteDocはFirestore操作の基本部品です。追加・取得・更新・削除・参照作成など、役割を分けて覚えると実装判断が速くなります。</x:v>
      </x:c>
      <x:c r="O155" s="22" t="str">
        <x:v>全範囲</x:v>
      </x:c>
      <x:c r="P155" s="23" t="str">
        <x:v>Firestore,API,deleteDoc</x:v>
      </x:c>
    </x:row>
    <x:row r="156" ht="72" customHeight="1">
      <x:c r="A156" s="21" t="str">
        <x:v>FSQ-155</x:v>
      </x:c>
      <x:c r="B156" s="22" t="str">
        <x:v>基本操作</x:v>
      </x:c>
      <x:c r="C156" s="22" t="str">
        <x:v>応用</x:v>
      </x:c>
      <x:c r="D156" s="22" t="str">
        <x:v>4択</x:v>
      </x:c>
      <x:c r="E156" s="22" t="str">
        <x:v>Firestore API「setDoc」の役割として最も近いものは？</x:v>
      </x:c>
      <x:c r="F156" s="22" t="str"/>
      <x:c r="G156" s="22" t="str">
        <x:v>HTML要素を作成する</x:v>
      </x:c>
      <x:c r="H156" s="22" t="str">
        <x:v>Firestoreの料金を必ず0円にする</x:v>
      </x:c>
      <x:c r="I156" s="22" t="str">
        <x:v>指定IDのドキュメントへ作成または上書きする</x:v>
      </x:c>
      <x:c r="J156" s="22" t="str">
        <x:v>何も表示しない</x:v>
      </x:c>
      <x:c r="K156" s="27" t="n">
        <x:v>3</x:v>
      </x:c>
      <x:c r="L156" s="22" t="str">
        <x:v>指定IDのドキュメントへ作成または上書きする</x:v>
      </x:c>
      <x:c r="M156" s="22" t="str">
        <x:v>API名の動詞に注目します。</x:v>
      </x:c>
      <x:c r="N156" s="22" t="str">
        <x:v>setDocはFirestore操作の基本部品です。追加・取得・更新・削除・参照作成など、役割を分けて覚えると実装判断が速くなります。</x:v>
      </x:c>
      <x:c r="O156" s="22" t="str">
        <x:v>全範囲</x:v>
      </x:c>
      <x:c r="P156" s="23" t="str">
        <x:v>Firestore,API,setDoc</x:v>
      </x:c>
    </x:row>
    <x:row r="157" ht="72" customHeight="1">
      <x:c r="A157" s="21" t="str">
        <x:v>FSQ-156</x:v>
      </x:c>
      <x:c r="B157" s="22" t="str">
        <x:v>基本操作</x:v>
      </x:c>
      <x:c r="C157" s="22" t="str">
        <x:v>初級</x:v>
      </x:c>
      <x:c r="D157" s="22" t="str">
        <x:v>4択</x:v>
      </x:c>
      <x:c r="E157" s="22" t="str">
        <x:v>Firestore API「query」の役割として最も近いものは？</x:v>
      </x:c>
      <x:c r="F157" s="22" t="str"/>
      <x:c r="G157" s="22" t="str">
        <x:v>CSSの色を変更する</x:v>
      </x:c>
      <x:c r="H157" s="22" t="str">
        <x:v>全ユーザーの権限を自動で安全にする</x:v>
      </x:c>
      <x:c r="I157" s="22" t="str">
        <x:v>背景色を変える</x:v>
      </x:c>
      <x:c r="J157" s="22" t="str">
        <x:v>collection参照に検索条件を組み合わせる</x:v>
      </x:c>
      <x:c r="K157" s="27" t="n">
        <x:v>4</x:v>
      </x:c>
      <x:c r="L157" s="22" t="str">
        <x:v>collection参照に検索条件を組み合わせる</x:v>
      </x:c>
      <x:c r="M157" s="22" t="str">
        <x:v>API名の動詞に注目します。</x:v>
      </x:c>
      <x:c r="N157" s="22" t="str">
        <x:v>queryはFirestore操作の基本部品です。追加・取得・更新・削除・参照作成など、役割を分けて覚えると実装判断が速くなります。</x:v>
      </x:c>
      <x:c r="O157" s="22" t="str">
        <x:v>全範囲</x:v>
      </x:c>
      <x:c r="P157" s="23" t="str">
        <x:v>Firestore,API,query</x:v>
      </x:c>
    </x:row>
    <x:row r="158" ht="72" customHeight="1">
      <x:c r="A158" s="21" t="str">
        <x:v>FSQ-157</x:v>
      </x:c>
      <x:c r="B158" s="22" t="str">
        <x:v>基本操作</x:v>
      </x:c>
      <x:c r="C158" s="22" t="str">
        <x:v>初級</x:v>
      </x:c>
      <x:c r="D158" s="22" t="str">
        <x:v>4択</x:v>
      </x:c>
      <x:c r="E158" s="22" t="str">
        <x:v>Firestore API「where」の役割として最も近いものは？</x:v>
      </x:c>
      <x:c r="F158" s="22" t="str"/>
      <x:c r="G158" s="22" t="str">
        <x:v>フィールド条件で絞り込む</x:v>
      </x:c>
      <x:c r="H158" s="22" t="str">
        <x:v>CSSの色を変更する</x:v>
      </x:c>
      <x:c r="I158" s="22" t="str">
        <x:v>全ユーザーの権限を自動で安全にする</x:v>
      </x:c>
      <x:c r="J158" s="22" t="str">
        <x:v>背景色を変える</x:v>
      </x:c>
      <x:c r="K158" s="27" t="n">
        <x:v>1</x:v>
      </x:c>
      <x:c r="L158" s="22" t="str">
        <x:v>フィールド条件で絞り込む</x:v>
      </x:c>
      <x:c r="M158" s="22" t="str">
        <x:v>API名の動詞に注目します。</x:v>
      </x:c>
      <x:c r="N158" s="22" t="str">
        <x:v>whereはFirestore操作の基本部品です。追加・取得・更新・削除・参照作成など、役割を分けて覚えると実装判断が速くなります。</x:v>
      </x:c>
      <x:c r="O158" s="22" t="str">
        <x:v>全範囲</x:v>
      </x:c>
      <x:c r="P158" s="23" t="str">
        <x:v>Firestore,API,where</x:v>
      </x:c>
    </x:row>
    <x:row r="159" ht="72" customHeight="1">
      <x:c r="A159" s="21" t="str">
        <x:v>FSQ-158</x:v>
      </x:c>
      <x:c r="B159" s="22" t="str">
        <x:v>基本操作</x:v>
      </x:c>
      <x:c r="C159" s="22" t="str">
        <x:v>中級</x:v>
      </x:c>
      <x:c r="D159" s="22" t="str">
        <x:v>4択</x:v>
      </x:c>
      <x:c r="E159" s="22" t="str">
        <x:v>Firestore API「orderBy」の役割として最も近いものは？</x:v>
      </x:c>
      <x:c r="F159" s="22" t="str"/>
      <x:c r="G159" s="22" t="str">
        <x:v>ログイン画面だけを表示する</x:v>
      </x:c>
      <x:c r="H159" s="22" t="str">
        <x:v>指定フィールドで並び替える</x:v>
      </x:c>
      <x:c r="I159" s="22" t="str">
        <x:v>ブラウザの戻るボタンを無効化する</x:v>
      </x:c>
      <x:c r="J159" s="22" t="str">
        <x:v>関係ない注文を更新する</x:v>
      </x:c>
      <x:c r="K159" s="27" t="n">
        <x:v>2</x:v>
      </x:c>
      <x:c r="L159" s="22" t="str">
        <x:v>指定フィールドで並び替える</x:v>
      </x:c>
      <x:c r="M159" s="22" t="str">
        <x:v>API名の動詞に注目します。</x:v>
      </x:c>
      <x:c r="N159" s="22" t="str">
        <x:v>orderByはFirestore操作の基本部品です。追加・取得・更新・削除・参照作成など、役割を分けて覚えると実装判断が速くなります。</x:v>
      </x:c>
      <x:c r="O159" s="22" t="str">
        <x:v>全範囲</x:v>
      </x:c>
      <x:c r="P159" s="23" t="str">
        <x:v>Firestore,API,orderBy</x:v>
      </x:c>
    </x:row>
    <x:row r="160" ht="72" customHeight="1">
      <x:c r="A160" s="21" t="str">
        <x:v>FSQ-159</x:v>
      </x:c>
      <x:c r="B160" s="22" t="str">
        <x:v>基本操作</x:v>
      </x:c>
      <x:c r="C160" s="22" t="str">
        <x:v>中級</x:v>
      </x:c>
      <x:c r="D160" s="22" t="str">
        <x:v>4択</x:v>
      </x:c>
      <x:c r="E160" s="22" t="str">
        <x:v>Firestore API「limit」の役割として最も近いものは？</x:v>
      </x:c>
      <x:c r="F160" s="22" t="str"/>
      <x:c r="G160" s="22" t="str">
        <x:v>CSSの色を変更する</x:v>
      </x:c>
      <x:c r="H160" s="22" t="str">
        <x:v>全ユーザーの権限を自動で安全にする</x:v>
      </x:c>
      <x:c r="I160" s="22" t="str">
        <x:v>取得件数の上限を決める</x:v>
      </x:c>
      <x:c r="J160" s="22" t="str">
        <x:v>背景色を変える</x:v>
      </x:c>
      <x:c r="K160" s="27" t="n">
        <x:v>3</x:v>
      </x:c>
      <x:c r="L160" s="22" t="str">
        <x:v>取得件数の上限を決める</x:v>
      </x:c>
      <x:c r="M160" s="22" t="str">
        <x:v>API名の動詞に注目します。</x:v>
      </x:c>
      <x:c r="N160" s="22" t="str">
        <x:v>limitはFirestore操作の基本部品です。追加・取得・更新・削除・参照作成など、役割を分けて覚えると実装判断が速くなります。</x:v>
      </x:c>
      <x:c r="O160" s="22" t="str">
        <x:v>全範囲</x:v>
      </x:c>
      <x:c r="P160" s="23" t="str">
        <x:v>Firestore,API,limit</x:v>
      </x:c>
    </x:row>
    <x:row r="161" ht="72" customHeight="1">
      <x:c r="A161" s="21" t="str">
        <x:v>FSQ-160</x:v>
      </x:c>
      <x:c r="B161" s="22" t="str">
        <x:v>基本操作</x:v>
      </x:c>
      <x:c r="C161" s="22" t="str">
        <x:v>応用</x:v>
      </x:c>
      <x:c r="D161" s="22" t="str">
        <x:v>4択</x:v>
      </x:c>
      <x:c r="E161" s="22" t="str">
        <x:v>Firestore API「collection」の役割として最も近いものは？</x:v>
      </x:c>
      <x:c r="F161" s="22" t="str"/>
      <x:c r="G161" s="22" t="str">
        <x:v>CSSの色を変更する</x:v>
      </x:c>
      <x:c r="H161" s="22" t="str">
        <x:v>Firestoreの料金を必ず0円にする</x:v>
      </x:c>
      <x:c r="I161" s="22" t="str">
        <x:v>何も表示しない</x:v>
      </x:c>
      <x:c r="J161" s="22" t="str">
        <x:v>コレクション参照を作る</x:v>
      </x:c>
      <x:c r="K161" s="27" t="n">
        <x:v>4</x:v>
      </x:c>
      <x:c r="L161" s="22" t="str">
        <x:v>コレクション参照を作る</x:v>
      </x:c>
      <x:c r="M161" s="22" t="str">
        <x:v>API名の動詞に注目します。</x:v>
      </x:c>
      <x:c r="N161" s="22" t="str">
        <x:v>collectionはFirestore操作の基本部品です。追加・取得・更新・削除・参照作成など、役割を分けて覚えると実装判断が速くなります。</x:v>
      </x:c>
      <x:c r="O161" s="22" t="str">
        <x:v>全範囲</x:v>
      </x:c>
      <x:c r="P161" s="23" t="str">
        <x:v>Firestore,API,collection</x:v>
      </x:c>
    </x:row>
    <x:row r="162" ht="72" customHeight="1">
      <x:c r="A162" s="21" t="str">
        <x:v>FSQ-161</x:v>
      </x:c>
      <x:c r="B162" s="22" t="str">
        <x:v>検索</x:v>
      </x:c>
      <x:c r="C162" s="22" t="str">
        <x:v>初級</x:v>
      </x:c>
      <x:c r="D162" s="22" t="str">
        <x:v>4択</x:v>
      </x:c>
      <x:c r="E162" s="22" t="str">
        <x:v>whereで絞り込み、createdAtで並び替えるクエリが失敗した。Firestoreで追加が必要になることが多いものは？</x:v>
      </x:c>
      <x:c r="F162" s="22" t="str">
        <x:v>query(collection(db, 'orders'), where('status', '==', 'waiting'), orderBy('createdAt'))</x:v>
      </x:c>
      <x:c r="G162" s="22" t="str">
        <x:v>複合インデックス</x:v>
      </x:c>
      <x:c r="H162" s="22" t="str">
        <x:v>favicon.ico</x:v>
      </x:c>
      <x:c r="I162" s="22" t="str">
        <x:v>CSSリセット</x:v>
      </x:c>
      <x:c r="J162" s="22" t="str">
        <x:v>別のHTMLファイル</x:v>
      </x:c>
      <x:c r="K162" s="27" t="n">
        <x:v>1</x:v>
      </x:c>
      <x:c r="L162" s="22" t="str">
        <x:v>複合インデックス</x:v>
      </x:c>
      <x:c r="M162" s="22" t="str">
        <x:v>Firestoreのエラー画面に作成リンクが出ることがあります。</x:v>
      </x:c>
      <x:c r="N162" s="22" t="str">
        <x:v>複数条件や並び替えを組み合わせると、Firestoreでは複合インデックスが必要になる場合があります。</x:v>
      </x:c>
      <x:c r="O162" s="22" t="str">
        <x:v>日替わり</x:v>
      </x:c>
      <x:c r="P162" s="23" t="str">
        <x:v>index,orderBy,createdAt</x:v>
      </x:c>
    </x:row>
    <x:row r="163" ht="72" customHeight="1">
      <x:c r="A163" s="21" t="str">
        <x:v>FSQ-162</x:v>
      </x:c>
      <x:c r="B163" s="22" t="str">
        <x:v>検索</x:v>
      </x:c>
      <x:c r="C163" s="22" t="str">
        <x:v>初級</x:v>
      </x:c>
      <x:c r="D163" s="22" t="str">
        <x:v>4択</x:v>
      </x:c>
      <x:c r="E163" s="22" t="str">
        <x:v>whereで絞り込み、updatedAtで並び替えるクエリが失敗した。Firestoreで追加が必要になることが多いものは？</x:v>
      </x:c>
      <x:c r="F163" s="22" t="str">
        <x:v>query(collection(db, 'orders'), where('status', '==', 'waiting'), orderBy('updatedAt'))</x:v>
      </x:c>
      <x:c r="G163" s="22" t="str">
        <x:v>favicon.ico</x:v>
      </x:c>
      <x:c r="H163" s="22" t="str">
        <x:v>複合インデックス</x:v>
      </x:c>
      <x:c r="I163" s="22" t="str">
        <x:v>CSSリセット</x:v>
      </x:c>
      <x:c r="J163" s="22" t="str">
        <x:v>別のHTMLファイル</x:v>
      </x:c>
      <x:c r="K163" s="27" t="n">
        <x:v>2</x:v>
      </x:c>
      <x:c r="L163" s="22" t="str">
        <x:v>複合インデックス</x:v>
      </x:c>
      <x:c r="M163" s="22" t="str">
        <x:v>Firestoreのエラー画面に作成リンクが出ることがあります。</x:v>
      </x:c>
      <x:c r="N163" s="22" t="str">
        <x:v>複数条件や並び替えを組み合わせると、Firestoreでは複合インデックスが必要になる場合があります。</x:v>
      </x:c>
      <x:c r="O163" s="22" t="str">
        <x:v>日替わり</x:v>
      </x:c>
      <x:c r="P163" s="23" t="str">
        <x:v>index,orderBy,updatedAt</x:v>
      </x:c>
    </x:row>
    <x:row r="164" ht="72" customHeight="1">
      <x:c r="A164" s="21" t="str">
        <x:v>FSQ-163</x:v>
      </x:c>
      <x:c r="B164" s="22" t="str">
        <x:v>検索</x:v>
      </x:c>
      <x:c r="C164" s="22" t="str">
        <x:v>中級</x:v>
      </x:c>
      <x:c r="D164" s="22" t="str">
        <x:v>4択</x:v>
      </x:c>
      <x:c r="E164" s="22" t="str">
        <x:v>whereで絞り込み、tableで並び替えるクエリが失敗した。Firestoreで追加が必要になることが多いものは？</x:v>
      </x:c>
      <x:c r="F164" s="22" t="str">
        <x:v>query(collection(db, 'orders'), where('status', '==', 'waiting'), orderBy('table'))</x:v>
      </x:c>
      <x:c r="G164" s="22" t="str">
        <x:v>favicon.ico</x:v>
      </x:c>
      <x:c r="H164" s="22" t="str">
        <x:v>CSSリセット</x:v>
      </x:c>
      <x:c r="I164" s="22" t="str">
        <x:v>複合インデックス</x:v>
      </x:c>
      <x:c r="J164" s="22" t="str">
        <x:v>別のHTMLファイル</x:v>
      </x:c>
      <x:c r="K164" s="27" t="n">
        <x:v>3</x:v>
      </x:c>
      <x:c r="L164" s="22" t="str">
        <x:v>複合インデックス</x:v>
      </x:c>
      <x:c r="M164" s="22" t="str">
        <x:v>Firestoreのエラー画面に作成リンクが出ることがあります。</x:v>
      </x:c>
      <x:c r="N164" s="22" t="str">
        <x:v>複数条件や並び替えを組み合わせると、Firestoreでは複合インデックスが必要になる場合があります。</x:v>
      </x:c>
      <x:c r="O164" s="22" t="str">
        <x:v>日替わり</x:v>
      </x:c>
      <x:c r="P164" s="23" t="str">
        <x:v>index,orderBy,table</x:v>
      </x:c>
    </x:row>
    <x:row r="165" ht="72" customHeight="1">
      <x:c r="A165" s="21" t="str">
        <x:v>FSQ-164</x:v>
      </x:c>
      <x:c r="B165" s="22" t="str">
        <x:v>検索</x:v>
      </x:c>
      <x:c r="C165" s="22" t="str">
        <x:v>中級</x:v>
      </x:c>
      <x:c r="D165" s="22" t="str">
        <x:v>4択</x:v>
      </x:c>
      <x:c r="E165" s="22" t="str">
        <x:v>whereで絞り込み、statusで並び替えるクエリが失敗した。Firestoreで追加が必要になることが多いものは？</x:v>
      </x:c>
      <x:c r="F165" s="22" t="str">
        <x:v>query(collection(db, 'orders'), where('status', '==', 'waiting'), orderBy('status'))</x:v>
      </x:c>
      <x:c r="G165" s="22" t="str">
        <x:v>favicon.ico</x:v>
      </x:c>
      <x:c r="H165" s="22" t="str">
        <x:v>CSSリセット</x:v>
      </x:c>
      <x:c r="I165" s="22" t="str">
        <x:v>別のHTMLファイル</x:v>
      </x:c>
      <x:c r="J165" s="22" t="str">
        <x:v>複合インデックス</x:v>
      </x:c>
      <x:c r="K165" s="27" t="n">
        <x:v>4</x:v>
      </x:c>
      <x:c r="L165" s="22" t="str">
        <x:v>複合インデックス</x:v>
      </x:c>
      <x:c r="M165" s="22" t="str">
        <x:v>Firestoreのエラー画面に作成リンクが出ることがあります。</x:v>
      </x:c>
      <x:c r="N165" s="22" t="str">
        <x:v>複数条件や並び替えを組み合わせると、Firestoreでは複合インデックスが必要になる場合があります。</x:v>
      </x:c>
      <x:c r="O165" s="22" t="str">
        <x:v>日替わり</x:v>
      </x:c>
      <x:c r="P165" s="23" t="str">
        <x:v>index,orderBy,status</x:v>
      </x:c>
    </x:row>
    <x:row r="166" ht="72" customHeight="1">
      <x:c r="A166" s="21" t="str">
        <x:v>FSQ-165</x:v>
      </x:c>
      <x:c r="B166" s="22" t="str">
        <x:v>検索</x:v>
      </x:c>
      <x:c r="C166" s="22" t="str">
        <x:v>応用</x:v>
      </x:c>
      <x:c r="D166" s="22" t="str">
        <x:v>4択</x:v>
      </x:c>
      <x:c r="E166" s="22" t="str">
        <x:v>whereで絞り込み、priorityで並び替えるクエリが失敗した。Firestoreで追加が必要になることが多いものは？</x:v>
      </x:c>
      <x:c r="F166" s="22" t="str">
        <x:v>query(collection(db, 'orders'), where('status', '==', 'waiting'), orderBy('priority'))</x:v>
      </x:c>
      <x:c r="G166" s="22" t="str">
        <x:v>複合インデックス</x:v>
      </x:c>
      <x:c r="H166" s="22" t="str">
        <x:v>favicon.ico</x:v>
      </x:c>
      <x:c r="I166" s="22" t="str">
        <x:v>CSSリセット</x:v>
      </x:c>
      <x:c r="J166" s="22" t="str">
        <x:v>別のHTMLファイル</x:v>
      </x:c>
      <x:c r="K166" s="27" t="n">
        <x:v>1</x:v>
      </x:c>
      <x:c r="L166" s="22" t="str">
        <x:v>複合インデックス</x:v>
      </x:c>
      <x:c r="M166" s="22" t="str">
        <x:v>Firestoreのエラー画面に作成リンクが出ることがあります。</x:v>
      </x:c>
      <x:c r="N166" s="22" t="str">
        <x:v>複数条件や並び替えを組み合わせると、Firestoreでは複合インデックスが必要になる場合があります。</x:v>
      </x:c>
      <x:c r="O166" s="22" t="str">
        <x:v>日替わり</x:v>
      </x:c>
      <x:c r="P166" s="23" t="str">
        <x:v>index,orderBy,priority</x:v>
      </x:c>
    </x:row>
    <x:row r="167" ht="72" customHeight="1">
      <x:c r="A167" s="21" t="str">
        <x:v>FSQ-166</x:v>
      </x:c>
      <x:c r="B167" s="22" t="str">
        <x:v>検索</x:v>
      </x:c>
      <x:c r="C167" s="22" t="str">
        <x:v>初級</x:v>
      </x:c>
      <x:c r="D167" s="22" t="str">
        <x:v>4択</x:v>
      </x:c>
      <x:c r="E167" s="22" t="str">
        <x:v>whereで絞り込み、staffCodeで並び替えるクエリが失敗した。Firestoreで追加が必要になることが多いものは？</x:v>
      </x:c>
      <x:c r="F167" s="22" t="str">
        <x:v>query(collection(db, 'orders'), where('status', '==', 'waiting'), orderBy('staffCode'))</x:v>
      </x:c>
      <x:c r="G167" s="22" t="str">
        <x:v>favicon.ico</x:v>
      </x:c>
      <x:c r="H167" s="22" t="str">
        <x:v>複合インデックス</x:v>
      </x:c>
      <x:c r="I167" s="22" t="str">
        <x:v>CSSリセット</x:v>
      </x:c>
      <x:c r="J167" s="22" t="str">
        <x:v>別のHTMLファイル</x:v>
      </x:c>
      <x:c r="K167" s="27" t="n">
        <x:v>2</x:v>
      </x:c>
      <x:c r="L167" s="22" t="str">
        <x:v>複合インデックス</x:v>
      </x:c>
      <x:c r="M167" s="22" t="str">
        <x:v>Firestoreのエラー画面に作成リンクが出ることがあります。</x:v>
      </x:c>
      <x:c r="N167" s="22" t="str">
        <x:v>複数条件や並び替えを組み合わせると、Firestoreでは複合インデックスが必要になる場合があります。</x:v>
      </x:c>
      <x:c r="O167" s="22" t="str">
        <x:v>日替わり</x:v>
      </x:c>
      <x:c r="P167" s="23" t="str">
        <x:v>index,orderBy,staffCode</x:v>
      </x:c>
    </x:row>
    <x:row r="168" ht="72" customHeight="1">
      <x:c r="A168" s="21" t="str">
        <x:v>FSQ-167</x:v>
      </x:c>
      <x:c r="B168" s="22" t="str">
        <x:v>検索</x:v>
      </x:c>
      <x:c r="C168" s="22" t="str">
        <x:v>初級</x:v>
      </x:c>
      <x:c r="D168" s="22" t="str">
        <x:v>4択</x:v>
      </x:c>
      <x:c r="E168" s="22" t="str">
        <x:v>whereで絞り込み、guestCountで並び替えるクエリが失敗した。Firestoreで追加が必要になることが多いものは？</x:v>
      </x:c>
      <x:c r="F168" s="22" t="str">
        <x:v>query(collection(db, 'orders'), where('status', '==', 'waiting'), orderBy('guestCount'))</x:v>
      </x:c>
      <x:c r="G168" s="22" t="str">
        <x:v>favicon.ico</x:v>
      </x:c>
      <x:c r="H168" s="22" t="str">
        <x:v>CSSリセット</x:v>
      </x:c>
      <x:c r="I168" s="22" t="str">
        <x:v>複合インデックス</x:v>
      </x:c>
      <x:c r="J168" s="22" t="str">
        <x:v>別のHTMLファイル</x:v>
      </x:c>
      <x:c r="K168" s="27" t="n">
        <x:v>3</x:v>
      </x:c>
      <x:c r="L168" s="22" t="str">
        <x:v>複合インデックス</x:v>
      </x:c>
      <x:c r="M168" s="22" t="str">
        <x:v>Firestoreのエラー画面に作成リンクが出ることがあります。</x:v>
      </x:c>
      <x:c r="N168" s="22" t="str">
        <x:v>複数条件や並び替えを組み合わせると、Firestoreでは複合インデックスが必要になる場合があります。</x:v>
      </x:c>
      <x:c r="O168" s="22" t="str">
        <x:v>日替わり</x:v>
      </x:c>
      <x:c r="P168" s="23" t="str">
        <x:v>index,orderBy,guestCount</x:v>
      </x:c>
    </x:row>
    <x:row r="169" ht="72" customHeight="1">
      <x:c r="A169" s="21" t="str">
        <x:v>FSQ-168</x:v>
      </x:c>
      <x:c r="B169" s="22" t="str">
        <x:v>検索</x:v>
      </x:c>
      <x:c r="C169" s="22" t="str">
        <x:v>中級</x:v>
      </x:c>
      <x:c r="D169" s="22" t="str">
        <x:v>4択</x:v>
      </x:c>
      <x:c r="E169" s="22" t="str">
        <x:v>whereで絞り込み、orderMethodで並び替えるクエリが失敗した。Firestoreで追加が必要になることが多いものは？</x:v>
      </x:c>
      <x:c r="F169" s="22" t="str">
        <x:v>query(collection(db, 'orders'), where('status', '==', 'waiting'), orderBy('orderMethod'))</x:v>
      </x:c>
      <x:c r="G169" s="22" t="str">
        <x:v>favicon.ico</x:v>
      </x:c>
      <x:c r="H169" s="22" t="str">
        <x:v>CSSリセット</x:v>
      </x:c>
      <x:c r="I169" s="22" t="str">
        <x:v>別のHTMLファイル</x:v>
      </x:c>
      <x:c r="J169" s="22" t="str">
        <x:v>複合インデックス</x:v>
      </x:c>
      <x:c r="K169" s="27" t="n">
        <x:v>4</x:v>
      </x:c>
      <x:c r="L169" s="22" t="str">
        <x:v>複合インデックス</x:v>
      </x:c>
      <x:c r="M169" s="22" t="str">
        <x:v>Firestoreのエラー画面に作成リンクが出ることがあります。</x:v>
      </x:c>
      <x:c r="N169" s="22" t="str">
        <x:v>複数条件や並び替えを組み合わせると、Firestoreでは複合インデックスが必要になる場合があります。</x:v>
      </x:c>
      <x:c r="O169" s="22" t="str">
        <x:v>日替わり</x:v>
      </x:c>
      <x:c r="P169" s="23" t="str">
        <x:v>index,orderBy,orderMethod</x:v>
      </x:c>
    </x:row>
    <x:row r="170" ht="72" customHeight="1">
      <x:c r="A170" s="21" t="str">
        <x:v>FSQ-169</x:v>
      </x:c>
      <x:c r="B170" s="22" t="str">
        <x:v>検索</x:v>
      </x:c>
      <x:c r="C170" s="22" t="str">
        <x:v>中級</x:v>
      </x:c>
      <x:c r="D170" s="22" t="str">
        <x:v>4択</x:v>
      </x:c>
      <x:c r="E170" s="22" t="str">
        <x:v>whereで絞り込み、hiddenAtで並び替えるクエリが失敗した。Firestoreで追加が必要になることが多いものは？</x:v>
      </x:c>
      <x:c r="F170" s="22" t="str">
        <x:v>query(collection(db, 'orders'), where('status', '==', 'waiting'), orderBy('hiddenAt'))</x:v>
      </x:c>
      <x:c r="G170" s="22" t="str">
        <x:v>複合インデックス</x:v>
      </x:c>
      <x:c r="H170" s="22" t="str">
        <x:v>favicon.ico</x:v>
      </x:c>
      <x:c r="I170" s="22" t="str">
        <x:v>CSSリセット</x:v>
      </x:c>
      <x:c r="J170" s="22" t="str">
        <x:v>別のHTMLファイル</x:v>
      </x:c>
      <x:c r="K170" s="27" t="n">
        <x:v>1</x:v>
      </x:c>
      <x:c r="L170" s="22" t="str">
        <x:v>複合インデックス</x:v>
      </x:c>
      <x:c r="M170" s="22" t="str">
        <x:v>Firestoreのエラー画面に作成リンクが出ることがあります。</x:v>
      </x:c>
      <x:c r="N170" s="22" t="str">
        <x:v>複数条件や並び替えを組み合わせると、Firestoreでは複合インデックスが必要になる場合があります。</x:v>
      </x:c>
      <x:c r="O170" s="22" t="str">
        <x:v>日替わり</x:v>
      </x:c>
      <x:c r="P170" s="23" t="str">
        <x:v>index,orderBy,hiddenAt</x:v>
      </x:c>
    </x:row>
    <x:row r="171" ht="72" customHeight="1">
      <x:c r="A171" s="21" t="str">
        <x:v>FSQ-170</x:v>
      </x:c>
      <x:c r="B171" s="22" t="str">
        <x:v>検索</x:v>
      </x:c>
      <x:c r="C171" s="22" t="str">
        <x:v>応用</x:v>
      </x:c>
      <x:c r="D171" s="22" t="str">
        <x:v>4択</x:v>
      </x:c>
      <x:c r="E171" s="22" t="str">
        <x:v>whereで絞り込み、answeredAtで並び替えるクエリが失敗した。Firestoreで追加が必要になることが多いものは？</x:v>
      </x:c>
      <x:c r="F171" s="22" t="str">
        <x:v>query(collection(db, 'orders'), where('status', '==', 'waiting'), orderBy('answeredAt'))</x:v>
      </x:c>
      <x:c r="G171" s="22" t="str">
        <x:v>favicon.ico</x:v>
      </x:c>
      <x:c r="H171" s="22" t="str">
        <x:v>複合インデックス</x:v>
      </x:c>
      <x:c r="I171" s="22" t="str">
        <x:v>CSSリセット</x:v>
      </x:c>
      <x:c r="J171" s="22" t="str">
        <x:v>別のHTMLファイル</x:v>
      </x:c>
      <x:c r="K171" s="27" t="n">
        <x:v>2</x:v>
      </x:c>
      <x:c r="L171" s="22" t="str">
        <x:v>複合インデックス</x:v>
      </x:c>
      <x:c r="M171" s="22" t="str">
        <x:v>Firestoreのエラー画面に作成リンクが出ることがあります。</x:v>
      </x:c>
      <x:c r="N171" s="22" t="str">
        <x:v>複数条件や並び替えを組み合わせると、Firestoreでは複合インデックスが必要になる場合があります。</x:v>
      </x:c>
      <x:c r="O171" s="22" t="str">
        <x:v>日替わり</x:v>
      </x:c>
      <x:c r="P171" s="23" t="str">
        <x:v>index,orderBy,answeredAt</x:v>
      </x:c>
    </x:row>
    <x:row r="172" ht="72" customHeight="1">
      <x:c r="A172" s="21" t="str">
        <x:v>FSQ-171</x:v>
      </x:c>
      <x:c r="B172" s="22" t="str">
        <x:v>設計</x:v>
      </x:c>
      <x:c r="C172" s="22" t="str">
        <x:v>初級</x:v>
      </x:c>
      <x:c r="D172" s="22" t="str">
        <x:v>4択</x:v>
      </x:c>
      <x:c r="E172" s="22" t="str">
        <x:v>items配列をFirestoreで扱うとき、設計時に最初に考えるべきことは？</x:v>
      </x:c>
      <x:c r="F172" s="22" t="str"/>
      <x:c r="G172" s="22" t="str">
        <x:v>見た目の色だけで決める</x:v>
      </x:c>
      <x:c r="H172" s="22" t="str">
        <x:v>必ず1つの巨大ドキュメントにする</x:v>
      </x:c>
      <x:c r="I172" s="22" t="str">
        <x:v>更新頻度・取得単位・履歴の必要性を考える</x:v>
      </x:c>
      <x:c r="J172" s="22" t="str">
        <x:v>必ずlocalStorageだけにする</x:v>
      </x:c>
      <x:c r="K172" s="27" t="n">
        <x:v>3</x:v>
      </x:c>
      <x:c r="L172" s="22" t="str">
        <x:v>更新頻度・取得単位・履歴の必要性を考える</x:v>
      </x:c>
      <x:c r="M172" s="22" t="str">
        <x:v>データは読み書きのされ方で形が変わります。</x:v>
      </x:c>
      <x:c r="N172" s="22" t="str">
        <x:v>Firestoreではドキュメントサイズや読み書き回数、監視単位が重要です。画面の都合だけでなく、運用時の変更も考えて設計します。</x:v>
      </x:c>
      <x:c r="O172" s="22" t="str">
        <x:v>実装判断</x:v>
      </x:c>
      <x:c r="P172" s="23" t="str">
        <x:v>設計,items配列,Firestore</x:v>
      </x:c>
    </x:row>
    <x:row r="173" ht="72" customHeight="1">
      <x:c r="A173" s="21" t="str">
        <x:v>FSQ-172</x:v>
      </x:c>
      <x:c r="B173" s="22" t="str">
        <x:v>設計</x:v>
      </x:c>
      <x:c r="C173" s="22" t="str">
        <x:v>初級</x:v>
      </x:c>
      <x:c r="D173" s="22" t="str">
        <x:v>4択</x:v>
      </x:c>
      <x:c r="E173" s="22" t="str">
        <x:v>サブコレクションをFirestoreで扱うとき、設計時に最初に考えるべきことは？</x:v>
      </x:c>
      <x:c r="F173" s="22" t="str"/>
      <x:c r="G173" s="22" t="str">
        <x:v>見た目の色だけで決める</x:v>
      </x:c>
      <x:c r="H173" s="22" t="str">
        <x:v>必ず1つの巨大ドキュメントにする</x:v>
      </x:c>
      <x:c r="I173" s="22" t="str">
        <x:v>必ずlocalStorageだけにする</x:v>
      </x:c>
      <x:c r="J173" s="22" t="str">
        <x:v>更新頻度・取得単位・履歴の必要性を考える</x:v>
      </x:c>
      <x:c r="K173" s="27" t="n">
        <x:v>4</x:v>
      </x:c>
      <x:c r="L173" s="22" t="str">
        <x:v>更新頻度・取得単位・履歴の必要性を考える</x:v>
      </x:c>
      <x:c r="M173" s="22" t="str">
        <x:v>データは読み書きのされ方で形が変わります。</x:v>
      </x:c>
      <x:c r="N173" s="22" t="str">
        <x:v>Firestoreではドキュメントサイズや読み書き回数、監視単位が重要です。画面の都合だけでなく、運用時の変更も考えて設計します。</x:v>
      </x:c>
      <x:c r="O173" s="22" t="str">
        <x:v>実装判断</x:v>
      </x:c>
      <x:c r="P173" s="23" t="str">
        <x:v>設計,サブコレクション,Firestore</x:v>
      </x:c>
    </x:row>
    <x:row r="174" ht="72" customHeight="1">
      <x:c r="A174" s="21" t="str">
        <x:v>FSQ-173</x:v>
      </x:c>
      <x:c r="B174" s="22" t="str">
        <x:v>設計</x:v>
      </x:c>
      <x:c r="C174" s="22" t="str">
        <x:v>中級</x:v>
      </x:c>
      <x:c r="D174" s="22" t="str">
        <x:v>4択</x:v>
      </x:c>
      <x:c r="E174" s="22" t="str">
        <x:v>注文ドキュメントをFirestoreで扱うとき、設計時に最初に考えるべきことは？</x:v>
      </x:c>
      <x:c r="F174" s="22" t="str"/>
      <x:c r="G174" s="22" t="str">
        <x:v>更新頻度・取得単位・履歴の必要性を考える</x:v>
      </x:c>
      <x:c r="H174" s="22" t="str">
        <x:v>見た目の色だけで決める</x:v>
      </x:c>
      <x:c r="I174" s="22" t="str">
        <x:v>必ず1つの巨大ドキュメントにする</x:v>
      </x:c>
      <x:c r="J174" s="22" t="str">
        <x:v>必ずlocalStorageだけにする</x:v>
      </x:c>
      <x:c r="K174" s="27" t="n">
        <x:v>1</x:v>
      </x:c>
      <x:c r="L174" s="22" t="str">
        <x:v>更新頻度・取得単位・履歴の必要性を考える</x:v>
      </x:c>
      <x:c r="M174" s="22" t="str">
        <x:v>データは読み書きのされ方で形が変わります。</x:v>
      </x:c>
      <x:c r="N174" s="22" t="str">
        <x:v>Firestoreではドキュメントサイズや読み書き回数、監視単位が重要です。画面の都合だけでなく、運用時の変更も考えて設計します。</x:v>
      </x:c>
      <x:c r="O174" s="22" t="str">
        <x:v>実装判断</x:v>
      </x:c>
      <x:c r="P174" s="23" t="str">
        <x:v>設計,注文ドキュメント,Firestore</x:v>
      </x:c>
    </x:row>
    <x:row r="175" ht="72" customHeight="1">
      <x:c r="A175" s="21" t="str">
        <x:v>FSQ-174</x:v>
      </x:c>
      <x:c r="B175" s="22" t="str">
        <x:v>設計</x:v>
      </x:c>
      <x:c r="C175" s="22" t="str">
        <x:v>中級</x:v>
      </x:c>
      <x:c r="D175" s="22" t="str">
        <x:v>4択</x:v>
      </x:c>
      <x:c r="E175" s="22" t="str">
        <x:v>商品マスタをFirestoreで扱うとき、設計時に最初に考えるべきことは？</x:v>
      </x:c>
      <x:c r="F175" s="22" t="str"/>
      <x:c r="G175" s="22" t="str">
        <x:v>見た目の色だけで決める</x:v>
      </x:c>
      <x:c r="H175" s="22" t="str">
        <x:v>更新頻度・取得単位・履歴の必要性を考える</x:v>
      </x:c>
      <x:c r="I175" s="22" t="str">
        <x:v>必ず1つの巨大ドキュメントにする</x:v>
      </x:c>
      <x:c r="J175" s="22" t="str">
        <x:v>必ずlocalStorageだけにする</x:v>
      </x:c>
      <x:c r="K175" s="27" t="n">
        <x:v>2</x:v>
      </x:c>
      <x:c r="L175" s="22" t="str">
        <x:v>更新頻度・取得単位・履歴の必要性を考える</x:v>
      </x:c>
      <x:c r="M175" s="22" t="str">
        <x:v>データは読み書きのされ方で形が変わります。</x:v>
      </x:c>
      <x:c r="N175" s="22" t="str">
        <x:v>Firestoreではドキュメントサイズや読み書き回数、監視単位が重要です。画面の都合だけでなく、運用時の変更も考えて設計します。</x:v>
      </x:c>
      <x:c r="O175" s="22" t="str">
        <x:v>実装判断</x:v>
      </x:c>
      <x:c r="P175" s="23" t="str">
        <x:v>設計,商品マスタ,Firestore</x:v>
      </x:c>
    </x:row>
    <x:row r="176" ht="72" customHeight="1">
      <x:c r="A176" s="21" t="str">
        <x:v>FSQ-175</x:v>
      </x:c>
      <x:c r="B176" s="22" t="str">
        <x:v>設計</x:v>
      </x:c>
      <x:c r="C176" s="22" t="str">
        <x:v>応用</x:v>
      </x:c>
      <x:c r="D176" s="22" t="str">
        <x:v>4択</x:v>
      </x:c>
      <x:c r="E176" s="22" t="str">
        <x:v>ユーザー進捗をFirestoreで扱うとき、設計時に最初に考えるべきことは？</x:v>
      </x:c>
      <x:c r="F176" s="22" t="str"/>
      <x:c r="G176" s="22" t="str">
        <x:v>見た目の色だけで決める</x:v>
      </x:c>
      <x:c r="H176" s="22" t="str">
        <x:v>必ず1つの巨大ドキュメントにする</x:v>
      </x:c>
      <x:c r="I176" s="22" t="str">
        <x:v>更新頻度・取得単位・履歴の必要性を考える</x:v>
      </x:c>
      <x:c r="J176" s="22" t="str">
        <x:v>必ずlocalStorageだけにする</x:v>
      </x:c>
      <x:c r="K176" s="27" t="n">
        <x:v>3</x:v>
      </x:c>
      <x:c r="L176" s="22" t="str">
        <x:v>更新頻度・取得単位・履歴の必要性を考える</x:v>
      </x:c>
      <x:c r="M176" s="22" t="str">
        <x:v>データは読み書きのされ方で形が変わります。</x:v>
      </x:c>
      <x:c r="N176" s="22" t="str">
        <x:v>Firestoreではドキュメントサイズや読み書き回数、監視単位が重要です。画面の都合だけでなく、運用時の変更も考えて設計します。</x:v>
      </x:c>
      <x:c r="O176" s="22" t="str">
        <x:v>実装判断</x:v>
      </x:c>
      <x:c r="P176" s="23" t="str">
        <x:v>設計,ユーザー進捗,Firestore</x:v>
      </x:c>
    </x:row>
    <x:row r="177" ht="72" customHeight="1">
      <x:c r="A177" s="21" t="str">
        <x:v>FSQ-176</x:v>
      </x:c>
      <x:c r="B177" s="22" t="str">
        <x:v>設計</x:v>
      </x:c>
      <x:c r="C177" s="22" t="str">
        <x:v>初級</x:v>
      </x:c>
      <x:c r="D177" s="22" t="str">
        <x:v>4択</x:v>
      </x:c>
      <x:c r="E177" s="22" t="str">
        <x:v>復習BOXをFirestoreで扱うとき、設計時に最初に考えるべきことは？</x:v>
      </x:c>
      <x:c r="F177" s="22" t="str"/>
      <x:c r="G177" s="22" t="str">
        <x:v>見た目の色だけで決める</x:v>
      </x:c>
      <x:c r="H177" s="22" t="str">
        <x:v>必ず1つの巨大ドキュメントにする</x:v>
      </x:c>
      <x:c r="I177" s="22" t="str">
        <x:v>必ずlocalStorageだけにする</x:v>
      </x:c>
      <x:c r="J177" s="22" t="str">
        <x:v>更新頻度・取得単位・履歴の必要性を考える</x:v>
      </x:c>
      <x:c r="K177" s="27" t="n">
        <x:v>4</x:v>
      </x:c>
      <x:c r="L177" s="22" t="str">
        <x:v>更新頻度・取得単位・履歴の必要性を考える</x:v>
      </x:c>
      <x:c r="M177" s="22" t="str">
        <x:v>データは読み書きのされ方で形が変わります。</x:v>
      </x:c>
      <x:c r="N177" s="22" t="str">
        <x:v>Firestoreではドキュメントサイズや読み書き回数、監視単位が重要です。画面の都合だけでなく、運用時の変更も考えて設計します。</x:v>
      </x:c>
      <x:c r="O177" s="22" t="str">
        <x:v>実装判断</x:v>
      </x:c>
      <x:c r="P177" s="23" t="str">
        <x:v>設計,復習BOX,Firestore</x:v>
      </x:c>
    </x:row>
    <x:row r="178" ht="72" customHeight="1">
      <x:c r="A178" s="21" t="str">
        <x:v>FSQ-177</x:v>
      </x:c>
      <x:c r="B178" s="22" t="str">
        <x:v>設計</x:v>
      </x:c>
      <x:c r="C178" s="22" t="str">
        <x:v>初級</x:v>
      </x:c>
      <x:c r="D178" s="22" t="str">
        <x:v>4択</x:v>
      </x:c>
      <x:c r="E178" s="22" t="str">
        <x:v>日替わり問題をFirestoreで扱うとき、設計時に最初に考えるべきことは？</x:v>
      </x:c>
      <x:c r="F178" s="22" t="str"/>
      <x:c r="G178" s="22" t="str">
        <x:v>更新頻度・取得単位・履歴の必要性を考える</x:v>
      </x:c>
      <x:c r="H178" s="22" t="str">
        <x:v>見た目の色だけで決める</x:v>
      </x:c>
      <x:c r="I178" s="22" t="str">
        <x:v>必ず1つの巨大ドキュメントにする</x:v>
      </x:c>
      <x:c r="J178" s="22" t="str">
        <x:v>必ずlocalStorageだけにする</x:v>
      </x:c>
      <x:c r="K178" s="27" t="n">
        <x:v>1</x:v>
      </x:c>
      <x:c r="L178" s="22" t="str">
        <x:v>更新頻度・取得単位・履歴の必要性を考える</x:v>
      </x:c>
      <x:c r="M178" s="22" t="str">
        <x:v>データは読み書きのされ方で形が変わります。</x:v>
      </x:c>
      <x:c r="N178" s="22" t="str">
        <x:v>Firestoreではドキュメントサイズや読み書き回数、監視単位が重要です。画面の都合だけでなく、運用時の変更も考えて設計します。</x:v>
      </x:c>
      <x:c r="O178" s="22" t="str">
        <x:v>実装判断</x:v>
      </x:c>
      <x:c r="P178" s="23" t="str">
        <x:v>設計,日替わり問題,Firestore</x:v>
      </x:c>
    </x:row>
    <x:row r="179" ht="72" customHeight="1">
      <x:c r="A179" s="21" t="str">
        <x:v>FSQ-178</x:v>
      </x:c>
      <x:c r="B179" s="22" t="str">
        <x:v>設計</x:v>
      </x:c>
      <x:c r="C179" s="22" t="str">
        <x:v>中級</x:v>
      </x:c>
      <x:c r="D179" s="22" t="str">
        <x:v>4択</x:v>
      </x:c>
      <x:c r="E179" s="22" t="str">
        <x:v>回答ログをFirestoreで扱うとき、設計時に最初に考えるべきことは？</x:v>
      </x:c>
      <x:c r="F179" s="22" t="str"/>
      <x:c r="G179" s="22" t="str">
        <x:v>見た目の色だけで決める</x:v>
      </x:c>
      <x:c r="H179" s="22" t="str">
        <x:v>更新頻度・取得単位・履歴の必要性を考える</x:v>
      </x:c>
      <x:c r="I179" s="22" t="str">
        <x:v>必ず1つの巨大ドキュメントにする</x:v>
      </x:c>
      <x:c r="J179" s="22" t="str">
        <x:v>必ずlocalStorageだけにする</x:v>
      </x:c>
      <x:c r="K179" s="27" t="n">
        <x:v>2</x:v>
      </x:c>
      <x:c r="L179" s="22" t="str">
        <x:v>更新頻度・取得単位・履歴の必要性を考える</x:v>
      </x:c>
      <x:c r="M179" s="22" t="str">
        <x:v>データは読み書きのされ方で形が変わります。</x:v>
      </x:c>
      <x:c r="N179" s="22" t="str">
        <x:v>Firestoreではドキュメントサイズや読み書き回数、監視単位が重要です。画面の都合だけでなく、運用時の変更も考えて設計します。</x:v>
      </x:c>
      <x:c r="O179" s="22" t="str">
        <x:v>実装判断</x:v>
      </x:c>
      <x:c r="P179" s="23" t="str">
        <x:v>設計,回答ログ,Firestore</x:v>
      </x:c>
    </x:row>
    <x:row r="180" ht="72" customHeight="1">
      <x:c r="A180" s="21" t="str">
        <x:v>FSQ-179</x:v>
      </x:c>
      <x:c r="B180" s="22" t="str">
        <x:v>設計</x:v>
      </x:c>
      <x:c r="C180" s="22" t="str">
        <x:v>中級</x:v>
      </x:c>
      <x:c r="D180" s="22" t="str">
        <x:v>4択</x:v>
      </x:c>
      <x:c r="E180" s="22" t="str">
        <x:v>担当者履歴をFirestoreで扱うとき、設計時に最初に考えるべきことは？</x:v>
      </x:c>
      <x:c r="F180" s="22" t="str"/>
      <x:c r="G180" s="22" t="str">
        <x:v>見た目の色だけで決める</x:v>
      </x:c>
      <x:c r="H180" s="22" t="str">
        <x:v>必ず1つの巨大ドキュメントにする</x:v>
      </x:c>
      <x:c r="I180" s="22" t="str">
        <x:v>更新頻度・取得単位・履歴の必要性を考える</x:v>
      </x:c>
      <x:c r="J180" s="22" t="str">
        <x:v>必ずlocalStorageだけにする</x:v>
      </x:c>
      <x:c r="K180" s="27" t="n">
        <x:v>3</x:v>
      </x:c>
      <x:c r="L180" s="22" t="str">
        <x:v>更新頻度・取得単位・履歴の必要性を考える</x:v>
      </x:c>
      <x:c r="M180" s="22" t="str">
        <x:v>データは読み書きのされ方で形が変わります。</x:v>
      </x:c>
      <x:c r="N180" s="22" t="str">
        <x:v>Firestoreではドキュメントサイズや読み書き回数、監視単位が重要です。画面の都合だけでなく、運用時の変更も考えて設計します。</x:v>
      </x:c>
      <x:c r="O180" s="22" t="str">
        <x:v>実装判断</x:v>
      </x:c>
      <x:c r="P180" s="23" t="str">
        <x:v>設計,担当者履歴,Firestore</x:v>
      </x:c>
    </x:row>
    <x:row r="181" ht="72" customHeight="1">
      <x:c r="A181" s="21" t="str">
        <x:v>FSQ-180</x:v>
      </x:c>
      <x:c r="B181" s="22" t="str">
        <x:v>設計</x:v>
      </x:c>
      <x:c r="C181" s="22" t="str">
        <x:v>応用</x:v>
      </x:c>
      <x:c r="D181" s="22" t="str">
        <x:v>4択</x:v>
      </x:c>
      <x:c r="E181" s="22" t="str">
        <x:v>設定値をFirestoreで扱うとき、設計時に最初に考えるべきことは？</x:v>
      </x:c>
      <x:c r="F181" s="22" t="str"/>
      <x:c r="G181" s="22" t="str">
        <x:v>見た目の色だけで決める</x:v>
      </x:c>
      <x:c r="H181" s="22" t="str">
        <x:v>必ず1つの巨大ドキュメントにする</x:v>
      </x:c>
      <x:c r="I181" s="22" t="str">
        <x:v>必ずlocalStorageだけにする</x:v>
      </x:c>
      <x:c r="J181" s="22" t="str">
        <x:v>更新頻度・取得単位・履歴の必要性を考える</x:v>
      </x:c>
      <x:c r="K181" s="27" t="n">
        <x:v>4</x:v>
      </x:c>
      <x:c r="L181" s="22" t="str">
        <x:v>更新頻度・取得単位・履歴の必要性を考える</x:v>
      </x:c>
      <x:c r="M181" s="22" t="str">
        <x:v>データは読み書きのされ方で形が変わります。</x:v>
      </x:c>
      <x:c r="N181" s="22" t="str">
        <x:v>Firestoreではドキュメントサイズや読み書き回数、監視単位が重要です。画面の都合だけでなく、運用時の変更も考えて設計します。</x:v>
      </x:c>
      <x:c r="O181" s="22" t="str">
        <x:v>実装判断</x:v>
      </x:c>
      <x:c r="P181" s="23" t="str">
        <x:v>設計,設定値,Firestore</x:v>
      </x:c>
    </x:row>
    <x:row r="182" ht="72" customHeight="1">
      <x:c r="A182" s="21" t="str">
        <x:v>FSQ-181</x:v>
      </x:c>
      <x:c r="B182" s="22" t="str">
        <x:v>運用</x:v>
      </x:c>
      <x:c r="C182" s="22" t="str">
        <x:v>初級</x:v>
      </x:c>
      <x:c r="D182" s="22" t="str">
        <x:v>4択</x:v>
      </x:c>
      <x:c r="E182" s="22" t="str">
        <x:v>user01でログインしたとき、別ユーザーの履歴が混ざらないようにする保存方法は？</x:v>
      </x:c>
      <x:c r="F182" s="22" t="str">
        <x:v>localStorage.setItem('firestoreQuizProgressV1:user01', json);</x:v>
      </x:c>
      <x:c r="G182" s="22" t="str">
        <x:v>ユーザーIDを含めたキーで進捗を保存する</x:v>
      </x:c>
      <x:c r="H182" s="22" t="str">
        <x:v>全員同じlocalStorageキーに保存する</x:v>
      </x:c>
      <x:c r="I182" s="22" t="str">
        <x:v>正解数だけCSSに保存する</x:v>
      </x:c>
      <x:c r="J182" s="22" t="str">
        <x:v>ログアウト時に全員分を表示する</x:v>
      </x:c>
      <x:c r="K182" s="27" t="n">
        <x:v>1</x:v>
      </x:c>
      <x:c r="L182" s="22" t="str">
        <x:v>ユーザーIDを含めたキーで進捗を保存する</x:v>
      </x:c>
      <x:c r="M182" s="22" t="str">
        <x:v>同じ端末でも利用者を区別します。</x:v>
      </x:c>
      <x:c r="N182" s="22" t="str">
        <x:v>簡易ログインでも、保存キーにユーザーIDを含めると、同じブラウザ内でユーザーごとの履歴を分けやすくなります。</x:v>
      </x:c>
      <x:c r="O182" s="22" t="str">
        <x:v>弱点復習</x:v>
      </x:c>
      <x:c r="P182" s="23" t="str">
        <x:v>localStorage,login,user01</x:v>
      </x:c>
    </x:row>
    <x:row r="183" ht="72" customHeight="1">
      <x:c r="A183" s="21" t="str">
        <x:v>FSQ-182</x:v>
      </x:c>
      <x:c r="B183" s="22" t="str">
        <x:v>運用</x:v>
      </x:c>
      <x:c r="C183" s="22" t="str">
        <x:v>初級</x:v>
      </x:c>
      <x:c r="D183" s="22" t="str">
        <x:v>4択</x:v>
      </x:c>
      <x:c r="E183" s="22" t="str">
        <x:v>user02でログインしたとき、別ユーザーの履歴が混ざらないようにする保存方法は？</x:v>
      </x:c>
      <x:c r="F183" s="22" t="str">
        <x:v>localStorage.setItem('firestoreQuizProgressV1:user02', json);</x:v>
      </x:c>
      <x:c r="G183" s="22" t="str">
        <x:v>全員同じlocalStorageキーに保存する</x:v>
      </x:c>
      <x:c r="H183" s="22" t="str">
        <x:v>ユーザーIDを含めたキーで進捗を保存する</x:v>
      </x:c>
      <x:c r="I183" s="22" t="str">
        <x:v>正解数だけCSSに保存する</x:v>
      </x:c>
      <x:c r="J183" s="22" t="str">
        <x:v>ログアウト時に全員分を表示する</x:v>
      </x:c>
      <x:c r="K183" s="27" t="n">
        <x:v>2</x:v>
      </x:c>
      <x:c r="L183" s="22" t="str">
        <x:v>ユーザーIDを含めたキーで進捗を保存する</x:v>
      </x:c>
      <x:c r="M183" s="22" t="str">
        <x:v>同じ端末でも利用者を区別します。</x:v>
      </x:c>
      <x:c r="N183" s="22" t="str">
        <x:v>簡易ログインでも、保存キーにユーザーIDを含めると、同じブラウザ内でユーザーごとの履歴を分けやすくなります。</x:v>
      </x:c>
      <x:c r="O183" s="22" t="str">
        <x:v>弱点復習</x:v>
      </x:c>
      <x:c r="P183" s="23" t="str">
        <x:v>localStorage,login,user02</x:v>
      </x:c>
    </x:row>
    <x:row r="184" ht="72" customHeight="1">
      <x:c r="A184" s="21" t="str">
        <x:v>FSQ-183</x:v>
      </x:c>
      <x:c r="B184" s="22" t="str">
        <x:v>運用</x:v>
      </x:c>
      <x:c r="C184" s="22" t="str">
        <x:v>中級</x:v>
      </x:c>
      <x:c r="D184" s="22" t="str">
        <x:v>4択</x:v>
      </x:c>
      <x:c r="E184" s="22" t="str">
        <x:v>user03でログインしたとき、別ユーザーの履歴が混ざらないようにする保存方法は？</x:v>
      </x:c>
      <x:c r="F184" s="22" t="str">
        <x:v>localStorage.setItem('firestoreQuizProgressV1:user03', json);</x:v>
      </x:c>
      <x:c r="G184" s="22" t="str">
        <x:v>全員同じlocalStorageキーに保存する</x:v>
      </x:c>
      <x:c r="H184" s="22" t="str">
        <x:v>正解数だけCSSに保存する</x:v>
      </x:c>
      <x:c r="I184" s="22" t="str">
        <x:v>ユーザーIDを含めたキーで進捗を保存する</x:v>
      </x:c>
      <x:c r="J184" s="22" t="str">
        <x:v>ログアウト時に全員分を表示する</x:v>
      </x:c>
      <x:c r="K184" s="27" t="n">
        <x:v>3</x:v>
      </x:c>
      <x:c r="L184" s="22" t="str">
        <x:v>ユーザーIDを含めたキーで進捗を保存する</x:v>
      </x:c>
      <x:c r="M184" s="22" t="str">
        <x:v>同じ端末でも利用者を区別します。</x:v>
      </x:c>
      <x:c r="N184" s="22" t="str">
        <x:v>簡易ログインでも、保存キーにユーザーIDを含めると、同じブラウザ内でユーザーごとの履歴を分けやすくなります。</x:v>
      </x:c>
      <x:c r="O184" s="22" t="str">
        <x:v>弱点復習</x:v>
      </x:c>
      <x:c r="P184" s="23" t="str">
        <x:v>localStorage,login,user03</x:v>
      </x:c>
    </x:row>
    <x:row r="185" ht="72" customHeight="1">
      <x:c r="A185" s="21" t="str">
        <x:v>FSQ-184</x:v>
      </x:c>
      <x:c r="B185" s="22" t="str">
        <x:v>運用</x:v>
      </x:c>
      <x:c r="C185" s="22" t="str">
        <x:v>中級</x:v>
      </x:c>
      <x:c r="D185" s="22" t="str">
        <x:v>4択</x:v>
      </x:c>
      <x:c r="E185" s="22" t="str">
        <x:v>user04でログインしたとき、別ユーザーの履歴が混ざらないようにする保存方法は？</x:v>
      </x:c>
      <x:c r="F185" s="22" t="str">
        <x:v>localStorage.setItem('firestoreQuizProgressV1:user04', json);</x:v>
      </x:c>
      <x:c r="G185" s="22" t="str">
        <x:v>全員同じlocalStorageキーに保存する</x:v>
      </x:c>
      <x:c r="H185" s="22" t="str">
        <x:v>正解数だけCSSに保存する</x:v>
      </x:c>
      <x:c r="I185" s="22" t="str">
        <x:v>ログアウト時に全員分を表示する</x:v>
      </x:c>
      <x:c r="J185" s="22" t="str">
        <x:v>ユーザーIDを含めたキーで進捗を保存する</x:v>
      </x:c>
      <x:c r="K185" s="27" t="n">
        <x:v>4</x:v>
      </x:c>
      <x:c r="L185" s="22" t="str">
        <x:v>ユーザーIDを含めたキーで進捗を保存する</x:v>
      </x:c>
      <x:c r="M185" s="22" t="str">
        <x:v>同じ端末でも利用者を区別します。</x:v>
      </x:c>
      <x:c r="N185" s="22" t="str">
        <x:v>簡易ログインでも、保存キーにユーザーIDを含めると、同じブラウザ内でユーザーごとの履歴を分けやすくなります。</x:v>
      </x:c>
      <x:c r="O185" s="22" t="str">
        <x:v>弱点復習</x:v>
      </x:c>
      <x:c r="P185" s="23" t="str">
        <x:v>localStorage,login,user04</x:v>
      </x:c>
    </x:row>
    <x:row r="186" ht="72" customHeight="1">
      <x:c r="A186" s="21" t="str">
        <x:v>FSQ-185</x:v>
      </x:c>
      <x:c r="B186" s="22" t="str">
        <x:v>運用</x:v>
      </x:c>
      <x:c r="C186" s="22" t="str">
        <x:v>応用</x:v>
      </x:c>
      <x:c r="D186" s="22" t="str">
        <x:v>4択</x:v>
      </x:c>
      <x:c r="E186" s="22" t="str">
        <x:v>user05でログインしたとき、別ユーザーの履歴が混ざらないようにする保存方法は？</x:v>
      </x:c>
      <x:c r="F186" s="22" t="str">
        <x:v>localStorage.setItem('firestoreQuizProgressV1:user05', json);</x:v>
      </x:c>
      <x:c r="G186" s="22" t="str">
        <x:v>ユーザーIDを含めたキーで進捗を保存する</x:v>
      </x:c>
      <x:c r="H186" s="22" t="str">
        <x:v>全員同じlocalStorageキーに保存する</x:v>
      </x:c>
      <x:c r="I186" s="22" t="str">
        <x:v>正解数だけCSSに保存する</x:v>
      </x:c>
      <x:c r="J186" s="22" t="str">
        <x:v>ログアウト時に全員分を表示する</x:v>
      </x:c>
      <x:c r="K186" s="27" t="n">
        <x:v>1</x:v>
      </x:c>
      <x:c r="L186" s="22" t="str">
        <x:v>ユーザーIDを含めたキーで進捗を保存する</x:v>
      </x:c>
      <x:c r="M186" s="22" t="str">
        <x:v>同じ端末でも利用者を区別します。</x:v>
      </x:c>
      <x:c r="N186" s="22" t="str">
        <x:v>簡易ログインでも、保存キーにユーザーIDを含めると、同じブラウザ内でユーザーごとの履歴を分けやすくなります。</x:v>
      </x:c>
      <x:c r="O186" s="22" t="str">
        <x:v>弱点復習</x:v>
      </x:c>
      <x:c r="P186" s="23" t="str">
        <x:v>localStorage,login,user05</x:v>
      </x:c>
    </x:row>
    <x:row r="187" ht="72" customHeight="1">
      <x:c r="A187" s="21" t="str">
        <x:v>FSQ-186</x:v>
      </x:c>
      <x:c r="B187" s="22" t="str">
        <x:v>運用</x:v>
      </x:c>
      <x:c r="C187" s="22" t="str">
        <x:v>初級</x:v>
      </x:c>
      <x:c r="D187" s="22" t="str">
        <x:v>4択</x:v>
      </x:c>
      <x:c r="E187" s="22" t="str">
        <x:v>user06でログインしたとき、別ユーザーの履歴が混ざらないようにする保存方法は？</x:v>
      </x:c>
      <x:c r="F187" s="22" t="str">
        <x:v>localStorage.setItem('firestoreQuizProgressV1:user06', json);</x:v>
      </x:c>
      <x:c r="G187" s="22" t="str">
        <x:v>全員同じlocalStorageキーに保存する</x:v>
      </x:c>
      <x:c r="H187" s="22" t="str">
        <x:v>ユーザーIDを含めたキーで進捗を保存する</x:v>
      </x:c>
      <x:c r="I187" s="22" t="str">
        <x:v>正解数だけCSSに保存する</x:v>
      </x:c>
      <x:c r="J187" s="22" t="str">
        <x:v>ログアウト時に全員分を表示する</x:v>
      </x:c>
      <x:c r="K187" s="27" t="n">
        <x:v>2</x:v>
      </x:c>
      <x:c r="L187" s="22" t="str">
        <x:v>ユーザーIDを含めたキーで進捗を保存する</x:v>
      </x:c>
      <x:c r="M187" s="22" t="str">
        <x:v>同じ端末でも利用者を区別します。</x:v>
      </x:c>
      <x:c r="N187" s="22" t="str">
        <x:v>簡易ログインでも、保存キーにユーザーIDを含めると、同じブラウザ内でユーザーごとの履歴を分けやすくなります。</x:v>
      </x:c>
      <x:c r="O187" s="22" t="str">
        <x:v>弱点復習</x:v>
      </x:c>
      <x:c r="P187" s="23" t="str">
        <x:v>localStorage,login,user06</x:v>
      </x:c>
    </x:row>
    <x:row r="188" ht="72" customHeight="1">
      <x:c r="A188" s="21" t="str">
        <x:v>FSQ-187</x:v>
      </x:c>
      <x:c r="B188" s="22" t="str">
        <x:v>運用</x:v>
      </x:c>
      <x:c r="C188" s="22" t="str">
        <x:v>初級</x:v>
      </x:c>
      <x:c r="D188" s="22" t="str">
        <x:v>4択</x:v>
      </x:c>
      <x:c r="E188" s="22" t="str">
        <x:v>guestAでログインしたとき、別ユーザーの履歴が混ざらないようにする保存方法は？</x:v>
      </x:c>
      <x:c r="F188" s="22" t="str">
        <x:v>localStorage.setItem('firestoreQuizProgressV1:guestA', json);</x:v>
      </x:c>
      <x:c r="G188" s="22" t="str">
        <x:v>全員同じlocalStorageキーに保存する</x:v>
      </x:c>
      <x:c r="H188" s="22" t="str">
        <x:v>正解数だけCSSに保存する</x:v>
      </x:c>
      <x:c r="I188" s="22" t="str">
        <x:v>ユーザーIDを含めたキーで進捗を保存する</x:v>
      </x:c>
      <x:c r="J188" s="22" t="str">
        <x:v>ログアウト時に全員分を表示する</x:v>
      </x:c>
      <x:c r="K188" s="27" t="n">
        <x:v>3</x:v>
      </x:c>
      <x:c r="L188" s="22" t="str">
        <x:v>ユーザーIDを含めたキーで進捗を保存する</x:v>
      </x:c>
      <x:c r="M188" s="22" t="str">
        <x:v>同じ端末でも利用者を区別します。</x:v>
      </x:c>
      <x:c r="N188" s="22" t="str">
        <x:v>簡易ログインでも、保存キーにユーザーIDを含めると、同じブラウザ内でユーザーごとの履歴を分けやすくなります。</x:v>
      </x:c>
      <x:c r="O188" s="22" t="str">
        <x:v>弱点復習</x:v>
      </x:c>
      <x:c r="P188" s="23" t="str">
        <x:v>localStorage,login,guestA</x:v>
      </x:c>
    </x:row>
    <x:row r="189" ht="72" customHeight="1">
      <x:c r="A189" s="21" t="str">
        <x:v>FSQ-188</x:v>
      </x:c>
      <x:c r="B189" s="22" t="str">
        <x:v>運用</x:v>
      </x:c>
      <x:c r="C189" s="22" t="str">
        <x:v>中級</x:v>
      </x:c>
      <x:c r="D189" s="22" t="str">
        <x:v>4択</x:v>
      </x:c>
      <x:c r="E189" s="22" t="str">
        <x:v>guestBでログインしたとき、別ユーザーの履歴が混ざらないようにする保存方法は？</x:v>
      </x:c>
      <x:c r="F189" s="22" t="str">
        <x:v>localStorage.setItem('firestoreQuizProgressV1:guestB', json);</x:v>
      </x:c>
      <x:c r="G189" s="22" t="str">
        <x:v>全員同じlocalStorageキーに保存する</x:v>
      </x:c>
      <x:c r="H189" s="22" t="str">
        <x:v>正解数だけCSSに保存する</x:v>
      </x:c>
      <x:c r="I189" s="22" t="str">
        <x:v>ログアウト時に全員分を表示する</x:v>
      </x:c>
      <x:c r="J189" s="22" t="str">
        <x:v>ユーザーIDを含めたキーで進捗を保存する</x:v>
      </x:c>
      <x:c r="K189" s="27" t="n">
        <x:v>4</x:v>
      </x:c>
      <x:c r="L189" s="22" t="str">
        <x:v>ユーザーIDを含めたキーで進捗を保存する</x:v>
      </x:c>
      <x:c r="M189" s="22" t="str">
        <x:v>同じ端末でも利用者を区別します。</x:v>
      </x:c>
      <x:c r="N189" s="22" t="str">
        <x:v>簡易ログインでも、保存キーにユーザーIDを含めると、同じブラウザ内でユーザーごとの履歴を分けやすくなります。</x:v>
      </x:c>
      <x:c r="O189" s="22" t="str">
        <x:v>弱点復習</x:v>
      </x:c>
      <x:c r="P189" s="23" t="str">
        <x:v>localStorage,login,guestB</x:v>
      </x:c>
    </x:row>
    <x:row r="190" ht="72" customHeight="1">
      <x:c r="A190" s="21" t="str">
        <x:v>FSQ-189</x:v>
      </x:c>
      <x:c r="B190" s="22" t="str">
        <x:v>運用</x:v>
      </x:c>
      <x:c r="C190" s="22" t="str">
        <x:v>中級</x:v>
      </x:c>
      <x:c r="D190" s="22" t="str">
        <x:v>4択</x:v>
      </x:c>
      <x:c r="E190" s="22" t="str">
        <x:v>teacherでログインしたとき、別ユーザーの履歴が混ざらないようにする保存方法は？</x:v>
      </x:c>
      <x:c r="F190" s="22" t="str">
        <x:v>localStorage.setItem('firestoreQuizProgressV1:teacher', json);</x:v>
      </x:c>
      <x:c r="G190" s="22" t="str">
        <x:v>ユーザーIDを含めたキーで進捗を保存する</x:v>
      </x:c>
      <x:c r="H190" s="22" t="str">
        <x:v>全員同じlocalStorageキーに保存する</x:v>
      </x:c>
      <x:c r="I190" s="22" t="str">
        <x:v>正解数だけCSSに保存する</x:v>
      </x:c>
      <x:c r="J190" s="22" t="str">
        <x:v>ログアウト時に全員分を表示する</x:v>
      </x:c>
      <x:c r="K190" s="27" t="n">
        <x:v>1</x:v>
      </x:c>
      <x:c r="L190" s="22" t="str">
        <x:v>ユーザーIDを含めたキーで進捗を保存する</x:v>
      </x:c>
      <x:c r="M190" s="22" t="str">
        <x:v>同じ端末でも利用者を区別します。</x:v>
      </x:c>
      <x:c r="N190" s="22" t="str">
        <x:v>簡易ログインでも、保存キーにユーザーIDを含めると、同じブラウザ内でユーザーごとの履歴を分けやすくなります。</x:v>
      </x:c>
      <x:c r="O190" s="22" t="str">
        <x:v>弱点復習</x:v>
      </x:c>
      <x:c r="P190" s="23" t="str">
        <x:v>localStorage,login,teacher</x:v>
      </x:c>
    </x:row>
    <x:row r="191" ht="72" customHeight="1">
      <x:c r="A191" s="21" t="str">
        <x:v>FSQ-190</x:v>
      </x:c>
      <x:c r="B191" s="22" t="str">
        <x:v>運用</x:v>
      </x:c>
      <x:c r="C191" s="22" t="str">
        <x:v>応用</x:v>
      </x:c>
      <x:c r="D191" s="22" t="str">
        <x:v>4択</x:v>
      </x:c>
      <x:c r="E191" s="22" t="str">
        <x:v>adminでログインしたとき、別ユーザーの履歴が混ざらないようにする保存方法は？</x:v>
      </x:c>
      <x:c r="F191" s="22" t="str">
        <x:v>localStorage.setItem('firestoreQuizProgressV1:admin', json);</x:v>
      </x:c>
      <x:c r="G191" s="22" t="str">
        <x:v>全員同じlocalStorageキーに保存する</x:v>
      </x:c>
      <x:c r="H191" s="22" t="str">
        <x:v>ユーザーIDを含めたキーで進捗を保存する</x:v>
      </x:c>
      <x:c r="I191" s="22" t="str">
        <x:v>正解数だけCSSに保存する</x:v>
      </x:c>
      <x:c r="J191" s="22" t="str">
        <x:v>ログアウト時に全員分を表示する</x:v>
      </x:c>
      <x:c r="K191" s="27" t="n">
        <x:v>2</x:v>
      </x:c>
      <x:c r="L191" s="22" t="str">
        <x:v>ユーザーIDを含めたキーで進捗を保存する</x:v>
      </x:c>
      <x:c r="M191" s="22" t="str">
        <x:v>同じ端末でも利用者を区別します。</x:v>
      </x:c>
      <x:c r="N191" s="22" t="str">
        <x:v>簡易ログインでも、保存キーにユーザーIDを含めると、同じブラウザ内でユーザーごとの履歴を分けやすくなります。</x:v>
      </x:c>
      <x:c r="O191" s="22" t="str">
        <x:v>弱点復習</x:v>
      </x:c>
      <x:c r="P191" s="23" t="str">
        <x:v>localStorage,login,admin</x:v>
      </x:c>
    </x:row>
    <x:row r="192" ht="72" customHeight="1">
      <x:c r="A192" s="21" t="str">
        <x:v>FSQ-191</x:v>
      </x:c>
      <x:c r="B192" s="22" t="str">
        <x:v>基本操作</x:v>
      </x:c>
      <x:c r="C192" s="22" t="str">
        <x:v>初級</x:v>
      </x:c>
      <x:c r="D192" s="22" t="str">
        <x:v>4択</x:v>
      </x:c>
      <x:c r="E192" s="22" t="str">
        <x:v>E-learning型サイトの「今日の必修」機能で、学習継続のために特に大切な考え方は？</x:v>
      </x:c>
      <x:c r="F192" s="22" t="str"/>
      <x:c r="G192" s="22" t="str">
        <x:v>毎回全履歴を消す</x:v>
      </x:c>
      <x:c r="H192" s="22" t="str">
        <x:v>解説を一切表示しない</x:v>
      </x:c>
      <x:c r="I192" s="22" t="str">
        <x:v>学習者が次に何を解けばよいか分かる状態にする</x:v>
      </x:c>
      <x:c r="J192" s="22" t="str">
        <x:v>正解を常に同じ位置にする</x:v>
      </x:c>
      <x:c r="K192" s="27" t="n">
        <x:v>3</x:v>
      </x:c>
      <x:c r="L192" s="22" t="str">
        <x:v>学習者が次に何を解けばよいか分かる状態にする</x:v>
      </x:c>
      <x:c r="M192" s="22" t="str">
        <x:v>継続しやすさは画面の分かりやすさにも左右されます。</x:v>
      </x:c>
      <x:c r="N192" s="22" t="str">
        <x:v>毎日の問題、弱点復習、解説、進捗表示がつながると、学習者は迷わず繰り返し練習できます。</x:v>
      </x:c>
      <x:c r="O192" s="22" t="str">
        <x:v>全範囲</x:v>
      </x:c>
      <x:c r="P192" s="23" t="str">
        <x:v>e-learning,今日の必修,継続学習</x:v>
      </x:c>
    </x:row>
    <x:row r="193" ht="72" customHeight="1">
      <x:c r="A193" s="21" t="str">
        <x:v>FSQ-192</x:v>
      </x:c>
      <x:c r="B193" s="22" t="str">
        <x:v>基本操作</x:v>
      </x:c>
      <x:c r="C193" s="22" t="str">
        <x:v>初級</x:v>
      </x:c>
      <x:c r="D193" s="22" t="str">
        <x:v>4択</x:v>
      </x:c>
      <x:c r="E193" s="22" t="str">
        <x:v>E-learning型サイトの「復習BOX」機能で、学習継続のために特に大切な考え方は？</x:v>
      </x:c>
      <x:c r="F193" s="22" t="str"/>
      <x:c r="G193" s="22" t="str">
        <x:v>毎回全履歴を消す</x:v>
      </x:c>
      <x:c r="H193" s="22" t="str">
        <x:v>解説を一切表示しない</x:v>
      </x:c>
      <x:c r="I193" s="22" t="str">
        <x:v>正解を常に同じ位置にする</x:v>
      </x:c>
      <x:c r="J193" s="22" t="str">
        <x:v>学習者が次に何を解けばよいか分かる状態にする</x:v>
      </x:c>
      <x:c r="K193" s="27" t="n">
        <x:v>4</x:v>
      </x:c>
      <x:c r="L193" s="22" t="str">
        <x:v>学習者が次に何を解けばよいか分かる状態にする</x:v>
      </x:c>
      <x:c r="M193" s="22" t="str">
        <x:v>継続しやすさは画面の分かりやすさにも左右されます。</x:v>
      </x:c>
      <x:c r="N193" s="22" t="str">
        <x:v>毎日の問題、弱点復習、解説、進捗表示がつながると、学習者は迷わず繰り返し練習できます。</x:v>
      </x:c>
      <x:c r="O193" s="22" t="str">
        <x:v>全範囲</x:v>
      </x:c>
      <x:c r="P193" s="23" t="str">
        <x:v>e-learning,復習BOX,継続学習</x:v>
      </x:c>
    </x:row>
    <x:row r="194" ht="72" customHeight="1">
      <x:c r="A194" s="21" t="str">
        <x:v>FSQ-193</x:v>
      </x:c>
      <x:c r="B194" s="22" t="str">
        <x:v>基本操作</x:v>
      </x:c>
      <x:c r="C194" s="22" t="str">
        <x:v>中級</x:v>
      </x:c>
      <x:c r="D194" s="22" t="str">
        <x:v>4択</x:v>
      </x:c>
      <x:c r="E194" s="22" t="str">
        <x:v>E-learning型サイトの「全範囲」機能で、学習継続のために特に大切な考え方は？</x:v>
      </x:c>
      <x:c r="F194" s="22" t="str"/>
      <x:c r="G194" s="22" t="str">
        <x:v>学習者が次に何を解けばよいか分かる状態にする</x:v>
      </x:c>
      <x:c r="H194" s="22" t="str">
        <x:v>毎回全履歴を消す</x:v>
      </x:c>
      <x:c r="I194" s="22" t="str">
        <x:v>解説を一切表示しない</x:v>
      </x:c>
      <x:c r="J194" s="22" t="str">
        <x:v>正解を常に同じ位置にする</x:v>
      </x:c>
      <x:c r="K194" s="27" t="n">
        <x:v>1</x:v>
      </x:c>
      <x:c r="L194" s="22" t="str">
        <x:v>学習者が次に何を解けばよいか分かる状態にする</x:v>
      </x:c>
      <x:c r="M194" s="22" t="str">
        <x:v>継続しやすさは画面の分かりやすさにも左右されます。</x:v>
      </x:c>
      <x:c r="N194" s="22" t="str">
        <x:v>毎日の問題、弱点復習、解説、進捗表示がつながると、学習者は迷わず繰り返し練習できます。</x:v>
      </x:c>
      <x:c r="O194" s="22" t="str">
        <x:v>全範囲</x:v>
      </x:c>
      <x:c r="P194" s="23" t="str">
        <x:v>e-learning,全範囲,継続学習</x:v>
      </x:c>
    </x:row>
    <x:row r="195" ht="72" customHeight="1">
      <x:c r="A195" s="21" t="str">
        <x:v>FSQ-194</x:v>
      </x:c>
      <x:c r="B195" s="22" t="str">
        <x:v>基本操作</x:v>
      </x:c>
      <x:c r="C195" s="22" t="str">
        <x:v>中級</x:v>
      </x:c>
      <x:c r="D195" s="22" t="str">
        <x:v>4択</x:v>
      </x:c>
      <x:c r="E195" s="22" t="str">
        <x:v>E-learning型サイトの「実装判断」機能で、学習継続のために特に大切な考え方は？</x:v>
      </x:c>
      <x:c r="F195" s="22" t="str"/>
      <x:c r="G195" s="22" t="str">
        <x:v>毎回全履歴を消す</x:v>
      </x:c>
      <x:c r="H195" s="22" t="str">
        <x:v>学習者が次に何を解けばよいか分かる状態にする</x:v>
      </x:c>
      <x:c r="I195" s="22" t="str">
        <x:v>解説を一切表示しない</x:v>
      </x:c>
      <x:c r="J195" s="22" t="str">
        <x:v>正解を常に同じ位置にする</x:v>
      </x:c>
      <x:c r="K195" s="27" t="n">
        <x:v>2</x:v>
      </x:c>
      <x:c r="L195" s="22" t="str">
        <x:v>学習者が次に何を解けばよいか分かる状態にする</x:v>
      </x:c>
      <x:c r="M195" s="22" t="str">
        <x:v>継続しやすさは画面の分かりやすさにも左右されます。</x:v>
      </x:c>
      <x:c r="N195" s="22" t="str">
        <x:v>毎日の問題、弱点復習、解説、進捗表示がつながると、学習者は迷わず繰り返し練習できます。</x:v>
      </x:c>
      <x:c r="O195" s="22" t="str">
        <x:v>全範囲</x:v>
      </x:c>
      <x:c r="P195" s="23" t="str">
        <x:v>e-learning,実装判断,継続学習</x:v>
      </x:c>
    </x:row>
    <x:row r="196" ht="72" customHeight="1">
      <x:c r="A196" s="21" t="str">
        <x:v>FSQ-195</x:v>
      </x:c>
      <x:c r="B196" s="22" t="str">
        <x:v>基本操作</x:v>
      </x:c>
      <x:c r="C196" s="22" t="str">
        <x:v>応用</x:v>
      </x:c>
      <x:c r="D196" s="22" t="str">
        <x:v>4択</x:v>
      </x:c>
      <x:c r="E196" s="22" t="str">
        <x:v>E-learning型サイトの「問題追加」機能で、学習継続のために特に大切な考え方は？</x:v>
      </x:c>
      <x:c r="F196" s="22" t="str"/>
      <x:c r="G196" s="22" t="str">
        <x:v>毎回全履歴を消す</x:v>
      </x:c>
      <x:c r="H196" s="22" t="str">
        <x:v>解説を一切表示しない</x:v>
      </x:c>
      <x:c r="I196" s="22" t="str">
        <x:v>学習者が次に何を解けばよいか分かる状態にする</x:v>
      </x:c>
      <x:c r="J196" s="22" t="str">
        <x:v>正解を常に同じ位置にする</x:v>
      </x:c>
      <x:c r="K196" s="27" t="n">
        <x:v>3</x:v>
      </x:c>
      <x:c r="L196" s="22" t="str">
        <x:v>学習者が次に何を解けばよいか分かる状態にする</x:v>
      </x:c>
      <x:c r="M196" s="22" t="str">
        <x:v>継続しやすさは画面の分かりやすさにも左右されます。</x:v>
      </x:c>
      <x:c r="N196" s="22" t="str">
        <x:v>毎日の問題、弱点復習、解説、進捗表示がつながると、学習者は迷わず繰り返し練習できます。</x:v>
      </x:c>
      <x:c r="O196" s="22" t="str">
        <x:v>全範囲</x:v>
      </x:c>
      <x:c r="P196" s="23" t="str">
        <x:v>e-learning,問題追加,継続学習</x:v>
      </x:c>
    </x:row>
    <x:row r="197" ht="72" customHeight="1">
      <x:c r="A197" s="21" t="str">
        <x:v>FSQ-196</x:v>
      </x:c>
      <x:c r="B197" s="22" t="str">
        <x:v>基本操作</x:v>
      </x:c>
      <x:c r="C197" s="22" t="str">
        <x:v>初級</x:v>
      </x:c>
      <x:c r="D197" s="22" t="str">
        <x:v>4択</x:v>
      </x:c>
      <x:c r="E197" s="22" t="str">
        <x:v>E-learning型サイトの「正解シャッフル」機能で、学習継続のために特に大切な考え方は？</x:v>
      </x:c>
      <x:c r="F197" s="22" t="str"/>
      <x:c r="G197" s="22" t="str">
        <x:v>毎回全履歴を消す</x:v>
      </x:c>
      <x:c r="H197" s="22" t="str">
        <x:v>解説を一切表示しない</x:v>
      </x:c>
      <x:c r="I197" s="22" t="str">
        <x:v>正解を常に同じ位置にする</x:v>
      </x:c>
      <x:c r="J197" s="22" t="str">
        <x:v>学習者が次に何を解けばよいか分かる状態にする</x:v>
      </x:c>
      <x:c r="K197" s="27" t="n">
        <x:v>4</x:v>
      </x:c>
      <x:c r="L197" s="22" t="str">
        <x:v>学習者が次に何を解けばよいか分かる状態にする</x:v>
      </x:c>
      <x:c r="M197" s="22" t="str">
        <x:v>継続しやすさは画面の分かりやすさにも左右されます。</x:v>
      </x:c>
      <x:c r="N197" s="22" t="str">
        <x:v>毎日の問題、弱点復習、解説、進捗表示がつながると、学習者は迷わず繰り返し練習できます。</x:v>
      </x:c>
      <x:c r="O197" s="22" t="str">
        <x:v>全範囲</x:v>
      </x:c>
      <x:c r="P197" s="23" t="str">
        <x:v>e-learning,正解シャッフル,継続学習</x:v>
      </x:c>
    </x:row>
    <x:row r="198" ht="72" customHeight="1">
      <x:c r="A198" s="21" t="str">
        <x:v>FSQ-197</x:v>
      </x:c>
      <x:c r="B198" s="22" t="str">
        <x:v>基本操作</x:v>
      </x:c>
      <x:c r="C198" s="22" t="str">
        <x:v>初級</x:v>
      </x:c>
      <x:c r="D198" s="22" t="str">
        <x:v>4択</x:v>
      </x:c>
      <x:c r="E198" s="22" t="str">
        <x:v>E-learning型サイトの「学習ログ」機能で、学習継続のために特に大切な考え方は？</x:v>
      </x:c>
      <x:c r="F198" s="22" t="str"/>
      <x:c r="G198" s="22" t="str">
        <x:v>学習者が次に何を解けばよいか分かる状態にする</x:v>
      </x:c>
      <x:c r="H198" s="22" t="str">
        <x:v>毎回全履歴を消す</x:v>
      </x:c>
      <x:c r="I198" s="22" t="str">
        <x:v>解説を一切表示しない</x:v>
      </x:c>
      <x:c r="J198" s="22" t="str">
        <x:v>正解を常に同じ位置にする</x:v>
      </x:c>
      <x:c r="K198" s="27" t="n">
        <x:v>1</x:v>
      </x:c>
      <x:c r="L198" s="22" t="str">
        <x:v>学習者が次に何を解けばよいか分かる状態にする</x:v>
      </x:c>
      <x:c r="M198" s="22" t="str">
        <x:v>継続しやすさは画面の分かりやすさにも左右されます。</x:v>
      </x:c>
      <x:c r="N198" s="22" t="str">
        <x:v>毎日の問題、弱点復習、解説、進捗表示がつながると、学習者は迷わず繰り返し練習できます。</x:v>
      </x:c>
      <x:c r="O198" s="22" t="str">
        <x:v>全範囲</x:v>
      </x:c>
      <x:c r="P198" s="23" t="str">
        <x:v>e-learning,学習ログ,継続学習</x:v>
      </x:c>
    </x:row>
    <x:row r="199" ht="72" customHeight="1">
      <x:c r="A199" s="21" t="str">
        <x:v>FSQ-198</x:v>
      </x:c>
      <x:c r="B199" s="22" t="str">
        <x:v>基本操作</x:v>
      </x:c>
      <x:c r="C199" s="22" t="str">
        <x:v>中級</x:v>
      </x:c>
      <x:c r="D199" s="22" t="str">
        <x:v>4択</x:v>
      </x:c>
      <x:c r="E199" s="22" t="str">
        <x:v>E-learning型サイトの「カテゴリ集計」機能で、学習継続のために特に大切な考え方は？</x:v>
      </x:c>
      <x:c r="F199" s="22" t="str"/>
      <x:c r="G199" s="22" t="str">
        <x:v>毎回全履歴を消す</x:v>
      </x:c>
      <x:c r="H199" s="22" t="str">
        <x:v>学習者が次に何を解けばよいか分かる状態にする</x:v>
      </x:c>
      <x:c r="I199" s="22" t="str">
        <x:v>解説を一切表示しない</x:v>
      </x:c>
      <x:c r="J199" s="22" t="str">
        <x:v>正解を常に同じ位置にする</x:v>
      </x:c>
      <x:c r="K199" s="27" t="n">
        <x:v>2</x:v>
      </x:c>
      <x:c r="L199" s="22" t="str">
        <x:v>学習者が次に何を解けばよいか分かる状態にする</x:v>
      </x:c>
      <x:c r="M199" s="22" t="str">
        <x:v>継続しやすさは画面の分かりやすさにも左右されます。</x:v>
      </x:c>
      <x:c r="N199" s="22" t="str">
        <x:v>毎日の問題、弱点復習、解説、進捗表示がつながると、学習者は迷わず繰り返し練習できます。</x:v>
      </x:c>
      <x:c r="O199" s="22" t="str">
        <x:v>全範囲</x:v>
      </x:c>
      <x:c r="P199" s="23" t="str">
        <x:v>e-learning,カテゴリ集計,継続学習</x:v>
      </x:c>
    </x:row>
    <x:row r="200" ht="72" customHeight="1">
      <x:c r="A200" s="21" t="str">
        <x:v>FSQ-199</x:v>
      </x:c>
      <x:c r="B200" s="22" t="str">
        <x:v>基本操作</x:v>
      </x:c>
      <x:c r="C200" s="22" t="str">
        <x:v>中級</x:v>
      </x:c>
      <x:c r="D200" s="22" t="str">
        <x:v>4択</x:v>
      </x:c>
      <x:c r="E200" s="22" t="str">
        <x:v>E-learning型サイトの「解説表示」機能で、学習継続のために特に大切な考え方は？</x:v>
      </x:c>
      <x:c r="F200" s="22" t="str"/>
      <x:c r="G200" s="22" t="str">
        <x:v>毎回全履歴を消す</x:v>
      </x:c>
      <x:c r="H200" s="22" t="str">
        <x:v>解説を一切表示しない</x:v>
      </x:c>
      <x:c r="I200" s="22" t="str">
        <x:v>学習者が次に何を解けばよいか分かる状態にする</x:v>
      </x:c>
      <x:c r="J200" s="22" t="str">
        <x:v>正解を常に同じ位置にする</x:v>
      </x:c>
      <x:c r="K200" s="27" t="n">
        <x:v>3</x:v>
      </x:c>
      <x:c r="L200" s="22" t="str">
        <x:v>学習者が次に何を解けばよいか分かる状態にする</x:v>
      </x:c>
      <x:c r="M200" s="22" t="str">
        <x:v>継続しやすさは画面の分かりやすさにも左右されます。</x:v>
      </x:c>
      <x:c r="N200" s="22" t="str">
        <x:v>毎日の問題、弱点復習、解説、進捗表示がつながると、学習者は迷わず繰り返し練習できます。</x:v>
      </x:c>
      <x:c r="O200" s="22" t="str">
        <x:v>全範囲</x:v>
      </x:c>
      <x:c r="P200" s="23" t="str">
        <x:v>e-learning,解説表示,継続学習</x:v>
      </x:c>
    </x:row>
    <x:row r="201" ht="72" customHeight="1">
      <x:c r="A201" s="21" t="str">
        <x:v>FSQ-200</x:v>
      </x:c>
      <x:c r="B201" s="22" t="str">
        <x:v>基本操作</x:v>
      </x:c>
      <x:c r="C201" s="22" t="str">
        <x:v>応用</x:v>
      </x:c>
      <x:c r="D201" s="22" t="str">
        <x:v>4択</x:v>
      </x:c>
      <x:c r="E201" s="22" t="str">
        <x:v>E-learning型サイトの「連続学習」機能で、学習継続のために特に大切な考え方は？</x:v>
      </x:c>
      <x:c r="F201" s="22" t="str"/>
      <x:c r="G201" s="22" t="str">
        <x:v>毎回全履歴を消す</x:v>
      </x:c>
      <x:c r="H201" s="22" t="str">
        <x:v>解説を一切表示しない</x:v>
      </x:c>
      <x:c r="I201" s="22" t="str">
        <x:v>正解を常に同じ位置にする</x:v>
      </x:c>
      <x:c r="J201" s="22" t="str">
        <x:v>学習者が次に何を解けばよいか分かる状態にする</x:v>
      </x:c>
      <x:c r="K201" s="27" t="n">
        <x:v>4</x:v>
      </x:c>
      <x:c r="L201" s="22" t="str">
        <x:v>学習者が次に何を解けばよいか分かる状態にする</x:v>
      </x:c>
      <x:c r="M201" s="22" t="str">
        <x:v>継続しやすさは画面の分かりやすさにも左右されます。</x:v>
      </x:c>
      <x:c r="N201" s="22" t="str">
        <x:v>毎日の問題、弱点復習、解説、進捗表示がつながると、学習者は迷わず繰り返し練習できます。</x:v>
      </x:c>
      <x:c r="O201" s="22" t="str">
        <x:v>全範囲</x:v>
      </x:c>
      <x:c r="P201" s="23" t="str">
        <x:v>e-learning,連続学習,継続学習</x:v>
      </x:c>
    </x:row>
    <x:row r="202" ht="72" customHeight="1">
      <x:c r="A202" s="21" t="str">
        <x:v>FSQ-201</x:v>
      </x:c>
      <x:c r="B202" s="22" t="str">
        <x:v>UX</x:v>
      </x:c>
      <x:c r="C202" s="22" t="str">
        <x:v>初級</x:v>
      </x:c>
      <x:c r="D202" s="22" t="str">
        <x:v>4択</x:v>
      </x:c>
      <x:c r="E202" s="22" t="str">
        <x:v>読込中が起きたとき、デモ版でも入れておくと親切なUIは？</x:v>
      </x:c>
      <x:c r="F202" s="22" t="str"/>
      <x:c r="G202" s="22" t="str">
        <x:v>状態に合ったメッセージと再試行しやすい導線</x:v>
      </x:c>
      <x:c r="H202" s="22" t="str">
        <x:v>画面を真っ白にする</x:v>
      </x:c>
      <x:c r="I202" s="22" t="str">
        <x:v>成功したふりをする</x:v>
      </x:c>
      <x:c r="J202" s="22" t="str">
        <x:v>別ユーザーの履歴を表示する</x:v>
      </x:c>
      <x:c r="K202" s="27" t="n">
        <x:v>1</x:v>
      </x:c>
      <x:c r="L202" s="22" t="str">
        <x:v>状態に合ったメッセージと再試行しやすい導線</x:v>
      </x:c>
      <x:c r="M202" s="22" t="str">
        <x:v>失敗しても利用者が戻れることが大切です。</x:v>
      </x:c>
      <x:c r="N202" s="22" t="str">
        <x:v>学習サイトでは、失敗時に理由が分かるだけで離脱が減ります。特にSpreadsheet送信やFirestore通信は失敗表示が重要です。</x:v>
      </x:c>
      <x:c r="O202" s="22" t="str">
        <x:v>弱点復習</x:v>
      </x:c>
      <x:c r="P202" s="23" t="str">
        <x:v>UX,読込中,状態表示</x:v>
      </x:c>
    </x:row>
    <x:row r="203" ht="72" customHeight="1">
      <x:c r="A203" s="21" t="str">
        <x:v>FSQ-202</x:v>
      </x:c>
      <x:c r="B203" s="22" t="str">
        <x:v>UX</x:v>
      </x:c>
      <x:c r="C203" s="22" t="str">
        <x:v>初級</x:v>
      </x:c>
      <x:c r="D203" s="22" t="str">
        <x:v>4択</x:v>
      </x:c>
      <x:c r="E203" s="22" t="str">
        <x:v>保存中が起きたとき、デモ版でも入れておくと親切なUIは？</x:v>
      </x:c>
      <x:c r="F203" s="22" t="str"/>
      <x:c r="G203" s="22" t="str">
        <x:v>画面を真っ白にする</x:v>
      </x:c>
      <x:c r="H203" s="22" t="str">
        <x:v>状態に合ったメッセージと再試行しやすい導線</x:v>
      </x:c>
      <x:c r="I203" s="22" t="str">
        <x:v>成功したふりをする</x:v>
      </x:c>
      <x:c r="J203" s="22" t="str">
        <x:v>別ユーザーの履歴を表示する</x:v>
      </x:c>
      <x:c r="K203" s="27" t="n">
        <x:v>2</x:v>
      </x:c>
      <x:c r="L203" s="22" t="str">
        <x:v>状態に合ったメッセージと再試行しやすい導線</x:v>
      </x:c>
      <x:c r="M203" s="22" t="str">
        <x:v>失敗しても利用者が戻れることが大切です。</x:v>
      </x:c>
      <x:c r="N203" s="22" t="str">
        <x:v>学習サイトでは、失敗時に理由が分かるだけで離脱が減ります。特にSpreadsheet送信やFirestore通信は失敗表示が重要です。</x:v>
      </x:c>
      <x:c r="O203" s="22" t="str">
        <x:v>弱点復習</x:v>
      </x:c>
      <x:c r="P203" s="23" t="str">
        <x:v>UX,保存中,状態表示</x:v>
      </x:c>
    </x:row>
    <x:row r="204" ht="72" customHeight="1">
      <x:c r="A204" s="21" t="str">
        <x:v>FSQ-203</x:v>
      </x:c>
      <x:c r="B204" s="22" t="str">
        <x:v>UX</x:v>
      </x:c>
      <x:c r="C204" s="22" t="str">
        <x:v>中級</x:v>
      </x:c>
      <x:c r="D204" s="22" t="str">
        <x:v>4択</x:v>
      </x:c>
      <x:c r="E204" s="22" t="str">
        <x:v>送信失敗が起きたとき、デモ版でも入れておくと親切なUIは？</x:v>
      </x:c>
      <x:c r="F204" s="22" t="str"/>
      <x:c r="G204" s="22" t="str">
        <x:v>画面を真っ白にする</x:v>
      </x:c>
      <x:c r="H204" s="22" t="str">
        <x:v>成功したふりをする</x:v>
      </x:c>
      <x:c r="I204" s="22" t="str">
        <x:v>状態に合ったメッセージと再試行しやすい導線</x:v>
      </x:c>
      <x:c r="J204" s="22" t="str">
        <x:v>別ユーザーの履歴を表示する</x:v>
      </x:c>
      <x:c r="K204" s="27" t="n">
        <x:v>3</x:v>
      </x:c>
      <x:c r="L204" s="22" t="str">
        <x:v>状態に合ったメッセージと再試行しやすい導線</x:v>
      </x:c>
      <x:c r="M204" s="22" t="str">
        <x:v>失敗しても利用者が戻れることが大切です。</x:v>
      </x:c>
      <x:c r="N204" s="22" t="str">
        <x:v>学習サイトでは、失敗時に理由が分かるだけで離脱が減ります。特にSpreadsheet送信やFirestore通信は失敗表示が重要です。</x:v>
      </x:c>
      <x:c r="O204" s="22" t="str">
        <x:v>弱点復習</x:v>
      </x:c>
      <x:c r="P204" s="23" t="str">
        <x:v>UX,送信失敗,状態表示</x:v>
      </x:c>
    </x:row>
    <x:row r="205" ht="72" customHeight="1">
      <x:c r="A205" s="21" t="str">
        <x:v>FSQ-204</x:v>
      </x:c>
      <x:c r="B205" s="22" t="str">
        <x:v>UX</x:v>
      </x:c>
      <x:c r="C205" s="22" t="str">
        <x:v>中級</x:v>
      </x:c>
      <x:c r="D205" s="22" t="str">
        <x:v>4択</x:v>
      </x:c>
      <x:c r="E205" s="22" t="str">
        <x:v>権限エラーが起きたとき、デモ版でも入れておくと親切なUIは？</x:v>
      </x:c>
      <x:c r="F205" s="22" t="str"/>
      <x:c r="G205" s="22" t="str">
        <x:v>画面を真っ白にする</x:v>
      </x:c>
      <x:c r="H205" s="22" t="str">
        <x:v>成功したふりをする</x:v>
      </x:c>
      <x:c r="I205" s="22" t="str">
        <x:v>別ユーザーの履歴を表示する</x:v>
      </x:c>
      <x:c r="J205" s="22" t="str">
        <x:v>状態に合ったメッセージと再試行しやすい導線</x:v>
      </x:c>
      <x:c r="K205" s="27" t="n">
        <x:v>4</x:v>
      </x:c>
      <x:c r="L205" s="22" t="str">
        <x:v>状態に合ったメッセージと再試行しやすい導線</x:v>
      </x:c>
      <x:c r="M205" s="22" t="str">
        <x:v>失敗しても利用者が戻れることが大切です。</x:v>
      </x:c>
      <x:c r="N205" s="22" t="str">
        <x:v>学習サイトでは、失敗時に理由が分かるだけで離脱が減ります。特にSpreadsheet送信やFirestore通信は失敗表示が重要です。</x:v>
      </x:c>
      <x:c r="O205" s="22" t="str">
        <x:v>弱点復習</x:v>
      </x:c>
      <x:c r="P205" s="23" t="str">
        <x:v>UX,権限エラー,状態表示</x:v>
      </x:c>
    </x:row>
    <x:row r="206" ht="72" customHeight="1">
      <x:c r="A206" s="21" t="str">
        <x:v>FSQ-205</x:v>
      </x:c>
      <x:c r="B206" s="22" t="str">
        <x:v>UX</x:v>
      </x:c>
      <x:c r="C206" s="22" t="str">
        <x:v>応用</x:v>
      </x:c>
      <x:c r="D206" s="22" t="str">
        <x:v>4択</x:v>
      </x:c>
      <x:c r="E206" s="22" t="str">
        <x:v>ネットワーク切断が起きたとき、デモ版でも入れておくと親切なUIは？</x:v>
      </x:c>
      <x:c r="F206" s="22" t="str"/>
      <x:c r="G206" s="22" t="str">
        <x:v>状態に合ったメッセージと再試行しやすい導線</x:v>
      </x:c>
      <x:c r="H206" s="22" t="str">
        <x:v>画面を真っ白にする</x:v>
      </x:c>
      <x:c r="I206" s="22" t="str">
        <x:v>成功したふりをする</x:v>
      </x:c>
      <x:c r="J206" s="22" t="str">
        <x:v>別ユーザーの履歴を表示する</x:v>
      </x:c>
      <x:c r="K206" s="27" t="n">
        <x:v>1</x:v>
      </x:c>
      <x:c r="L206" s="22" t="str">
        <x:v>状態に合ったメッセージと再試行しやすい導線</x:v>
      </x:c>
      <x:c r="M206" s="22" t="str">
        <x:v>失敗しても利用者が戻れることが大切です。</x:v>
      </x:c>
      <x:c r="N206" s="22" t="str">
        <x:v>学習サイトでは、失敗時に理由が分かるだけで離脱が減ります。特にSpreadsheet送信やFirestore通信は失敗表示が重要です。</x:v>
      </x:c>
      <x:c r="O206" s="22" t="str">
        <x:v>弱点復習</x:v>
      </x:c>
      <x:c r="P206" s="23" t="str">
        <x:v>UX,ネットワーク切断,状態表示</x:v>
      </x:c>
    </x:row>
    <x:row r="207" ht="72" customHeight="1">
      <x:c r="A207" s="21" t="str">
        <x:v>FSQ-206</x:v>
      </x:c>
      <x:c r="B207" s="22" t="str">
        <x:v>UX</x:v>
      </x:c>
      <x:c r="C207" s="22" t="str">
        <x:v>初級</x:v>
      </x:c>
      <x:c r="D207" s="22" t="str">
        <x:v>4択</x:v>
      </x:c>
      <x:c r="E207" s="22" t="str">
        <x:v>データなしが起きたとき、デモ版でも入れておくと親切なUIは？</x:v>
      </x:c>
      <x:c r="F207" s="22" t="str"/>
      <x:c r="G207" s="22" t="str">
        <x:v>画面を真っ白にする</x:v>
      </x:c>
      <x:c r="H207" s="22" t="str">
        <x:v>状態に合ったメッセージと再試行しやすい導線</x:v>
      </x:c>
      <x:c r="I207" s="22" t="str">
        <x:v>成功したふりをする</x:v>
      </x:c>
      <x:c r="J207" s="22" t="str">
        <x:v>別ユーザーの履歴を表示する</x:v>
      </x:c>
      <x:c r="K207" s="27" t="n">
        <x:v>2</x:v>
      </x:c>
      <x:c r="L207" s="22" t="str">
        <x:v>状態に合ったメッセージと再試行しやすい導線</x:v>
      </x:c>
      <x:c r="M207" s="22" t="str">
        <x:v>失敗しても利用者が戻れることが大切です。</x:v>
      </x:c>
      <x:c r="N207" s="22" t="str">
        <x:v>学習サイトでは、失敗時に理由が分かるだけで離脱が減ります。特にSpreadsheet送信やFirestore通信は失敗表示が重要です。</x:v>
      </x:c>
      <x:c r="O207" s="22" t="str">
        <x:v>弱点復習</x:v>
      </x:c>
      <x:c r="P207" s="23" t="str">
        <x:v>UX,データなし,状態表示</x:v>
      </x:c>
    </x:row>
    <x:row r="208" ht="72" customHeight="1">
      <x:c r="A208" s="21" t="str">
        <x:v>FSQ-207</x:v>
      </x:c>
      <x:c r="B208" s="22" t="str">
        <x:v>UX</x:v>
      </x:c>
      <x:c r="C208" s="22" t="str">
        <x:v>初級</x:v>
      </x:c>
      <x:c r="D208" s="22" t="str">
        <x:v>4択</x:v>
      </x:c>
      <x:c r="E208" s="22" t="str">
        <x:v>入力ミスが起きたとき、デモ版でも入れておくと親切なUIは？</x:v>
      </x:c>
      <x:c r="F208" s="22" t="str"/>
      <x:c r="G208" s="22" t="str">
        <x:v>画面を真っ白にする</x:v>
      </x:c>
      <x:c r="H208" s="22" t="str">
        <x:v>成功したふりをする</x:v>
      </x:c>
      <x:c r="I208" s="22" t="str">
        <x:v>状態に合ったメッセージと再試行しやすい導線</x:v>
      </x:c>
      <x:c r="J208" s="22" t="str">
        <x:v>別ユーザーの履歴を表示する</x:v>
      </x:c>
      <x:c r="K208" s="27" t="n">
        <x:v>3</x:v>
      </x:c>
      <x:c r="L208" s="22" t="str">
        <x:v>状態に合ったメッセージと再試行しやすい導線</x:v>
      </x:c>
      <x:c r="M208" s="22" t="str">
        <x:v>失敗しても利用者が戻れることが大切です。</x:v>
      </x:c>
      <x:c r="N208" s="22" t="str">
        <x:v>学習サイトでは、失敗時に理由が分かるだけで離脱が減ります。特にSpreadsheet送信やFirestore通信は失敗表示が重要です。</x:v>
      </x:c>
      <x:c r="O208" s="22" t="str">
        <x:v>弱点復習</x:v>
      </x:c>
      <x:c r="P208" s="23" t="str">
        <x:v>UX,入力ミス,状態表示</x:v>
      </x:c>
    </x:row>
    <x:row r="209" ht="72" customHeight="1">
      <x:c r="A209" s="21" t="str">
        <x:v>FSQ-208</x:v>
      </x:c>
      <x:c r="B209" s="22" t="str">
        <x:v>UX</x:v>
      </x:c>
      <x:c r="C209" s="22" t="str">
        <x:v>中級</x:v>
      </x:c>
      <x:c r="D209" s="22" t="str">
        <x:v>4択</x:v>
      </x:c>
      <x:c r="E209" s="22" t="str">
        <x:v>二重送信が起きたとき、デモ版でも入れておくと親切なUIは？</x:v>
      </x:c>
      <x:c r="F209" s="22" t="str"/>
      <x:c r="G209" s="22" t="str">
        <x:v>画面を真っ白にする</x:v>
      </x:c>
      <x:c r="H209" s="22" t="str">
        <x:v>成功したふりをする</x:v>
      </x:c>
      <x:c r="I209" s="22" t="str">
        <x:v>別ユーザーの履歴を表示する</x:v>
      </x:c>
      <x:c r="J209" s="22" t="str">
        <x:v>状態に合ったメッセージと再試行しやすい導線</x:v>
      </x:c>
      <x:c r="K209" s="27" t="n">
        <x:v>4</x:v>
      </x:c>
      <x:c r="L209" s="22" t="str">
        <x:v>状態に合ったメッセージと再試行しやすい導線</x:v>
      </x:c>
      <x:c r="M209" s="22" t="str">
        <x:v>失敗しても利用者が戻れることが大切です。</x:v>
      </x:c>
      <x:c r="N209" s="22" t="str">
        <x:v>学習サイトでは、失敗時に理由が分かるだけで離脱が減ります。特にSpreadsheet送信やFirestore通信は失敗表示が重要です。</x:v>
      </x:c>
      <x:c r="O209" s="22" t="str">
        <x:v>弱点復習</x:v>
      </x:c>
      <x:c r="P209" s="23" t="str">
        <x:v>UX,二重送信,状態表示</x:v>
      </x:c>
    </x:row>
    <x:row r="210" ht="72" customHeight="1">
      <x:c r="A210" s="21" t="str">
        <x:v>FSQ-209</x:v>
      </x:c>
      <x:c r="B210" s="22" t="str">
        <x:v>UX</x:v>
      </x:c>
      <x:c r="C210" s="22" t="str">
        <x:v>中級</x:v>
      </x:c>
      <x:c r="D210" s="22" t="str">
        <x:v>4択</x:v>
      </x:c>
      <x:c r="E210" s="22" t="str">
        <x:v>古いURLが起きたとき、デモ版でも入れておくと親切なUIは？</x:v>
      </x:c>
      <x:c r="F210" s="22" t="str"/>
      <x:c r="G210" s="22" t="str">
        <x:v>状態に合ったメッセージと再試行しやすい導線</x:v>
      </x:c>
      <x:c r="H210" s="22" t="str">
        <x:v>画面を真っ白にする</x:v>
      </x:c>
      <x:c r="I210" s="22" t="str">
        <x:v>成功したふりをする</x:v>
      </x:c>
      <x:c r="J210" s="22" t="str">
        <x:v>別ユーザーの履歴を表示する</x:v>
      </x:c>
      <x:c r="K210" s="27" t="n">
        <x:v>1</x:v>
      </x:c>
      <x:c r="L210" s="22" t="str">
        <x:v>状態に合ったメッセージと再試行しやすい導線</x:v>
      </x:c>
      <x:c r="M210" s="22" t="str">
        <x:v>失敗しても利用者が戻れることが大切です。</x:v>
      </x:c>
      <x:c r="N210" s="22" t="str">
        <x:v>学習サイトでは、失敗時に理由が分かるだけで離脱が減ります。特にSpreadsheet送信やFirestore通信は失敗表示が重要です。</x:v>
      </x:c>
      <x:c r="O210" s="22" t="str">
        <x:v>弱点復習</x:v>
      </x:c>
      <x:c r="P210" s="23" t="str">
        <x:v>UX,古いURL,状態表示</x:v>
      </x:c>
    </x:row>
    <x:row r="211" ht="72" customHeight="1">
      <x:c r="A211" s="21" t="str">
        <x:v>FSQ-210</x:v>
      </x:c>
      <x:c r="B211" s="22" t="str">
        <x:v>UX</x:v>
      </x:c>
      <x:c r="C211" s="22" t="str">
        <x:v>応用</x:v>
      </x:c>
      <x:c r="D211" s="22" t="str">
        <x:v>4択</x:v>
      </x:c>
      <x:c r="E211" s="22" t="str">
        <x:v>シート名違いが起きたとき、デモ版でも入れておくと親切なUIは？</x:v>
      </x:c>
      <x:c r="F211" s="22" t="str"/>
      <x:c r="G211" s="22" t="str">
        <x:v>画面を真っ白にする</x:v>
      </x:c>
      <x:c r="H211" s="22" t="str">
        <x:v>状態に合ったメッセージと再試行しやすい導線</x:v>
      </x:c>
      <x:c r="I211" s="22" t="str">
        <x:v>成功したふりをする</x:v>
      </x:c>
      <x:c r="J211" s="22" t="str">
        <x:v>別ユーザーの履歴を表示する</x:v>
      </x:c>
      <x:c r="K211" s="27" t="n">
        <x:v>2</x:v>
      </x:c>
      <x:c r="L211" s="22" t="str">
        <x:v>状態に合ったメッセージと再試行しやすい導線</x:v>
      </x:c>
      <x:c r="M211" s="22" t="str">
        <x:v>失敗しても利用者が戻れることが大切です。</x:v>
      </x:c>
      <x:c r="N211" s="22" t="str">
        <x:v>学習サイトでは、失敗時に理由が分かるだけで離脱が減ります。特にSpreadsheet送信やFirestore通信は失敗表示が重要です。</x:v>
      </x:c>
      <x:c r="O211" s="22" t="str">
        <x:v>弱点復習</x:v>
      </x:c>
      <x:c r="P211" s="23" t="str">
        <x:v>UX,シート名違い,状態表示</x:v>
      </x:c>
    </x:row>
    <x:row r="212" ht="72" customHeight="1">
      <x:c r="A212" s="21" t="str">
        <x:v>FSQ-211</x:v>
      </x:c>
      <x:c r="B212" s="22" t="str">
        <x:v>Spreadsheet連携</x:v>
      </x:c>
      <x:c r="C212" s="22" t="str">
        <x:v>初級</x:v>
      </x:c>
      <x:c r="D212" s="22" t="str">
        <x:v>4択</x:v>
      </x:c>
      <x:c r="E212" s="22" t="str">
        <x:v>Google Spreadsheetへ「回答結果」を記録する目的として最も適切なのは？</x:v>
      </x:c>
      <x:c r="F212" s="22" t="str"/>
      <x:c r="G212" s="22" t="str">
        <x:v>Firestoreの初期化を不要にするため</x:v>
      </x:c>
      <x:c r="H212" s="22" t="str">
        <x:v>CSSの読み込みを速くするため</x:v>
      </x:c>
      <x:c r="I212" s="22" t="str">
        <x:v>後から学習状況や問題品質を確認できるようにするため</x:v>
      </x:c>
      <x:c r="J212" s="22" t="str">
        <x:v>ブラウザのズーム率を固定するため</x:v>
      </x:c>
      <x:c r="K212" s="27" t="n">
        <x:v>3</x:v>
      </x:c>
      <x:c r="L212" s="22" t="str">
        <x:v>後から学習状況や問題品質を確認できるようにするため</x:v>
      </x:c>
      <x:c r="M212" s="22" t="str">
        <x:v>ログは後から見直すための材料です。</x:v>
      </x:c>
      <x:c r="N212" s="22" t="str">
        <x:v>問題と回答を記録すると、間違いやすいカテゴリ、問題文の分かりにくさ、ユーザー別の進捗を分析できます。</x:v>
      </x:c>
      <x:c r="O212" s="22" t="str">
        <x:v>全範囲</x:v>
      </x:c>
      <x:c r="P212" s="23" t="str">
        <x:v>Spreadsheet,回答結果,ログ</x:v>
      </x:c>
    </x:row>
    <x:row r="213" ht="72" customHeight="1">
      <x:c r="A213" s="21" t="str">
        <x:v>FSQ-212</x:v>
      </x:c>
      <x:c r="B213" s="22" t="str">
        <x:v>Spreadsheet連携</x:v>
      </x:c>
      <x:c r="C213" s="22" t="str">
        <x:v>初級</x:v>
      </x:c>
      <x:c r="D213" s="22" t="str">
        <x:v>4択</x:v>
      </x:c>
      <x:c r="E213" s="22" t="str">
        <x:v>Google Spreadsheetへ「問題本文」を記録する目的として最も適切なのは？</x:v>
      </x:c>
      <x:c r="F213" s="22" t="str"/>
      <x:c r="G213" s="22" t="str">
        <x:v>Firestoreの初期化を不要にするため</x:v>
      </x:c>
      <x:c r="H213" s="22" t="str">
        <x:v>CSSの読み込みを速くするため</x:v>
      </x:c>
      <x:c r="I213" s="22" t="str">
        <x:v>ブラウザのズーム率を固定するため</x:v>
      </x:c>
      <x:c r="J213" s="22" t="str">
        <x:v>後から学習状況や問題品質を確認できるようにするため</x:v>
      </x:c>
      <x:c r="K213" s="27" t="n">
        <x:v>4</x:v>
      </x:c>
      <x:c r="L213" s="22" t="str">
        <x:v>後から学習状況や問題品質を確認できるようにするため</x:v>
      </x:c>
      <x:c r="M213" s="22" t="str">
        <x:v>ログは後から見直すための材料です。</x:v>
      </x:c>
      <x:c r="N213" s="22" t="str">
        <x:v>問題と回答を記録すると、間違いやすいカテゴリ、問題文の分かりにくさ、ユーザー別の進捗を分析できます。</x:v>
      </x:c>
      <x:c r="O213" s="22" t="str">
        <x:v>全範囲</x:v>
      </x:c>
      <x:c r="P213" s="23" t="str">
        <x:v>Spreadsheet,問題本文,ログ</x:v>
      </x:c>
    </x:row>
    <x:row r="214" ht="72" customHeight="1">
      <x:c r="A214" s="21" t="str">
        <x:v>FSQ-213</x:v>
      </x:c>
      <x:c r="B214" s="22" t="str">
        <x:v>Spreadsheet連携</x:v>
      </x:c>
      <x:c r="C214" s="22" t="str">
        <x:v>中級</x:v>
      </x:c>
      <x:c r="D214" s="22" t="str">
        <x:v>4択</x:v>
      </x:c>
      <x:c r="E214" s="22" t="str">
        <x:v>Google Spreadsheetへ「選択肢」を記録する目的として最も適切なのは？</x:v>
      </x:c>
      <x:c r="F214" s="22" t="str"/>
      <x:c r="G214" s="22" t="str">
        <x:v>後から学習状況や問題品質を確認できるようにするため</x:v>
      </x:c>
      <x:c r="H214" s="22" t="str">
        <x:v>Firestoreの初期化を不要にするため</x:v>
      </x:c>
      <x:c r="I214" s="22" t="str">
        <x:v>CSSの読み込みを速くするため</x:v>
      </x:c>
      <x:c r="J214" s="22" t="str">
        <x:v>ブラウザのズーム率を固定するため</x:v>
      </x:c>
      <x:c r="K214" s="27" t="n">
        <x:v>1</x:v>
      </x:c>
      <x:c r="L214" s="22" t="str">
        <x:v>後から学習状況や問題品質を確認できるようにするため</x:v>
      </x:c>
      <x:c r="M214" s="22" t="str">
        <x:v>ログは後から見直すための材料です。</x:v>
      </x:c>
      <x:c r="N214" s="22" t="str">
        <x:v>問題と回答を記録すると、間違いやすいカテゴリ、問題文の分かりにくさ、ユーザー別の進捗を分析できます。</x:v>
      </x:c>
      <x:c r="O214" s="22" t="str">
        <x:v>全範囲</x:v>
      </x:c>
      <x:c r="P214" s="23" t="str">
        <x:v>Spreadsheet,選択肢,ログ</x:v>
      </x:c>
    </x:row>
    <x:row r="215" ht="72" customHeight="1">
      <x:c r="A215" s="21" t="str">
        <x:v>FSQ-214</x:v>
      </x:c>
      <x:c r="B215" s="22" t="str">
        <x:v>Spreadsheet連携</x:v>
      </x:c>
      <x:c r="C215" s="22" t="str">
        <x:v>中級</x:v>
      </x:c>
      <x:c r="D215" s="22" t="str">
        <x:v>4択</x:v>
      </x:c>
      <x:c r="E215" s="22" t="str">
        <x:v>Google Spreadsheetへ「正解番号」を記録する目的として最も適切なのは？</x:v>
      </x:c>
      <x:c r="F215" s="22" t="str"/>
      <x:c r="G215" s="22" t="str">
        <x:v>Firestoreの初期化を不要にするため</x:v>
      </x:c>
      <x:c r="H215" s="22" t="str">
        <x:v>後から学習状況や問題品質を確認できるようにするため</x:v>
      </x:c>
      <x:c r="I215" s="22" t="str">
        <x:v>CSSの読み込みを速くするため</x:v>
      </x:c>
      <x:c r="J215" s="22" t="str">
        <x:v>ブラウザのズーム率を固定するため</x:v>
      </x:c>
      <x:c r="K215" s="27" t="n">
        <x:v>2</x:v>
      </x:c>
      <x:c r="L215" s="22" t="str">
        <x:v>後から学習状況や問題品質を確認できるようにするため</x:v>
      </x:c>
      <x:c r="M215" s="22" t="str">
        <x:v>ログは後から見直すための材料です。</x:v>
      </x:c>
      <x:c r="N215" s="22" t="str">
        <x:v>問題と回答を記録すると、間違いやすいカテゴリ、問題文の分かりにくさ、ユーザー別の進捗を分析できます。</x:v>
      </x:c>
      <x:c r="O215" s="22" t="str">
        <x:v>全範囲</x:v>
      </x:c>
      <x:c r="P215" s="23" t="str">
        <x:v>Spreadsheet,正解番号,ログ</x:v>
      </x:c>
    </x:row>
    <x:row r="216" ht="72" customHeight="1">
      <x:c r="A216" s="21" t="str">
        <x:v>FSQ-215</x:v>
      </x:c>
      <x:c r="B216" s="22" t="str">
        <x:v>Spreadsheet連携</x:v>
      </x:c>
      <x:c r="C216" s="22" t="str">
        <x:v>応用</x:v>
      </x:c>
      <x:c r="D216" s="22" t="str">
        <x:v>4択</x:v>
      </x:c>
      <x:c r="E216" s="22" t="str">
        <x:v>Google Spreadsheetへ「解説」を記録する目的として最も適切なのは？</x:v>
      </x:c>
      <x:c r="F216" s="22" t="str"/>
      <x:c r="G216" s="22" t="str">
        <x:v>Firestoreの初期化を不要にするため</x:v>
      </x:c>
      <x:c r="H216" s="22" t="str">
        <x:v>CSSの読み込みを速くするため</x:v>
      </x:c>
      <x:c r="I216" s="22" t="str">
        <x:v>後から学習状況や問題品質を確認できるようにするため</x:v>
      </x:c>
      <x:c r="J216" s="22" t="str">
        <x:v>ブラウザのズーム率を固定するため</x:v>
      </x:c>
      <x:c r="K216" s="27" t="n">
        <x:v>3</x:v>
      </x:c>
      <x:c r="L216" s="22" t="str">
        <x:v>後から学習状況や問題品質を確認できるようにするため</x:v>
      </x:c>
      <x:c r="M216" s="22" t="str">
        <x:v>ログは後から見直すための材料です。</x:v>
      </x:c>
      <x:c r="N216" s="22" t="str">
        <x:v>問題と回答を記録すると、間違いやすいカテゴリ、問題文の分かりにくさ、ユーザー別の進捗を分析できます。</x:v>
      </x:c>
      <x:c r="O216" s="22" t="str">
        <x:v>全範囲</x:v>
      </x:c>
      <x:c r="P216" s="23" t="str">
        <x:v>Spreadsheet,解説,ログ</x:v>
      </x:c>
    </x:row>
    <x:row r="217" ht="72" customHeight="1">
      <x:c r="A217" s="21" t="str">
        <x:v>FSQ-216</x:v>
      </x:c>
      <x:c r="B217" s="22" t="str">
        <x:v>Spreadsheet連携</x:v>
      </x:c>
      <x:c r="C217" s="22" t="str">
        <x:v>初級</x:v>
      </x:c>
      <x:c r="D217" s="22" t="str">
        <x:v>4択</x:v>
      </x:c>
      <x:c r="E217" s="22" t="str">
        <x:v>Google Spreadsheetへ「ヒント」を記録する目的として最も適切なのは？</x:v>
      </x:c>
      <x:c r="F217" s="22" t="str"/>
      <x:c r="G217" s="22" t="str">
        <x:v>Firestoreの初期化を不要にするため</x:v>
      </x:c>
      <x:c r="H217" s="22" t="str">
        <x:v>CSSの読み込みを速くするため</x:v>
      </x:c>
      <x:c r="I217" s="22" t="str">
        <x:v>ブラウザのズーム率を固定するため</x:v>
      </x:c>
      <x:c r="J217" s="22" t="str">
        <x:v>後から学習状況や問題品質を確認できるようにするため</x:v>
      </x:c>
      <x:c r="K217" s="27" t="n">
        <x:v>4</x:v>
      </x:c>
      <x:c r="L217" s="22" t="str">
        <x:v>後から学習状況や問題品質を確認できるようにするため</x:v>
      </x:c>
      <x:c r="M217" s="22" t="str">
        <x:v>ログは後から見直すための材料です。</x:v>
      </x:c>
      <x:c r="N217" s="22" t="str">
        <x:v>問題と回答を記録すると、間違いやすいカテゴリ、問題文の分かりにくさ、ユーザー別の進捗を分析できます。</x:v>
      </x:c>
      <x:c r="O217" s="22" t="str">
        <x:v>全範囲</x:v>
      </x:c>
      <x:c r="P217" s="23" t="str">
        <x:v>Spreadsheet,ヒント,ログ</x:v>
      </x:c>
    </x:row>
    <x:row r="218" ht="72" customHeight="1">
      <x:c r="A218" s="21" t="str">
        <x:v>FSQ-217</x:v>
      </x:c>
      <x:c r="B218" s="22" t="str">
        <x:v>Spreadsheet連携</x:v>
      </x:c>
      <x:c r="C218" s="22" t="str">
        <x:v>初級</x:v>
      </x:c>
      <x:c r="D218" s="22" t="str">
        <x:v>4択</x:v>
      </x:c>
      <x:c r="E218" s="22" t="str">
        <x:v>Google Spreadsheetへ「カテゴリ」を記録する目的として最も適切なのは？</x:v>
      </x:c>
      <x:c r="F218" s="22" t="str"/>
      <x:c r="G218" s="22" t="str">
        <x:v>後から学習状況や問題品質を確認できるようにするため</x:v>
      </x:c>
      <x:c r="H218" s="22" t="str">
        <x:v>Firestoreの初期化を不要にするため</x:v>
      </x:c>
      <x:c r="I218" s="22" t="str">
        <x:v>CSSの読み込みを速くするため</x:v>
      </x:c>
      <x:c r="J218" s="22" t="str">
        <x:v>ブラウザのズーム率を固定するため</x:v>
      </x:c>
      <x:c r="K218" s="27" t="n">
        <x:v>1</x:v>
      </x:c>
      <x:c r="L218" s="22" t="str">
        <x:v>後から学習状況や問題品質を確認できるようにするため</x:v>
      </x:c>
      <x:c r="M218" s="22" t="str">
        <x:v>ログは後から見直すための材料です。</x:v>
      </x:c>
      <x:c r="N218" s="22" t="str">
        <x:v>問題と回答を記録すると、間違いやすいカテゴリ、問題文の分かりにくさ、ユーザー別の進捗を分析できます。</x:v>
      </x:c>
      <x:c r="O218" s="22" t="str">
        <x:v>全範囲</x:v>
      </x:c>
      <x:c r="P218" s="23" t="str">
        <x:v>Spreadsheet,カテゴリ,ログ</x:v>
      </x:c>
    </x:row>
    <x:row r="219" ht="72" customHeight="1">
      <x:c r="A219" s="21" t="str">
        <x:v>FSQ-218</x:v>
      </x:c>
      <x:c r="B219" s="22" t="str">
        <x:v>Spreadsheet連携</x:v>
      </x:c>
      <x:c r="C219" s="22" t="str">
        <x:v>中級</x:v>
      </x:c>
      <x:c r="D219" s="22" t="str">
        <x:v>4択</x:v>
      </x:c>
      <x:c r="E219" s="22" t="str">
        <x:v>Google Spreadsheetへ「難易度」を記録する目的として最も適切なのは？</x:v>
      </x:c>
      <x:c r="F219" s="22" t="str"/>
      <x:c r="G219" s="22" t="str">
        <x:v>Firestoreの初期化を不要にするため</x:v>
      </x:c>
      <x:c r="H219" s="22" t="str">
        <x:v>後から学習状況や問題品質を確認できるようにするため</x:v>
      </x:c>
      <x:c r="I219" s="22" t="str">
        <x:v>CSSの読み込みを速くするため</x:v>
      </x:c>
      <x:c r="J219" s="22" t="str">
        <x:v>ブラウザのズーム率を固定するため</x:v>
      </x:c>
      <x:c r="K219" s="27" t="n">
        <x:v>2</x:v>
      </x:c>
      <x:c r="L219" s="22" t="str">
        <x:v>後から学習状況や問題品質を確認できるようにするため</x:v>
      </x:c>
      <x:c r="M219" s="22" t="str">
        <x:v>ログは後から見直すための材料です。</x:v>
      </x:c>
      <x:c r="N219" s="22" t="str">
        <x:v>問題と回答を記録すると、間違いやすいカテゴリ、問題文の分かりにくさ、ユーザー別の進捗を分析できます。</x:v>
      </x:c>
      <x:c r="O219" s="22" t="str">
        <x:v>全範囲</x:v>
      </x:c>
      <x:c r="P219" s="23" t="str">
        <x:v>Spreadsheet,難易度,ログ</x:v>
      </x:c>
    </x:row>
    <x:row r="220" ht="72" customHeight="1">
      <x:c r="A220" s="21" t="str">
        <x:v>FSQ-219</x:v>
      </x:c>
      <x:c r="B220" s="22" t="str">
        <x:v>Spreadsheet連携</x:v>
      </x:c>
      <x:c r="C220" s="22" t="str">
        <x:v>中級</x:v>
      </x:c>
      <x:c r="D220" s="22" t="str">
        <x:v>4択</x:v>
      </x:c>
      <x:c r="E220" s="22" t="str">
        <x:v>Google Spreadsheetへ「ユーザーID」を記録する目的として最も適切なのは？</x:v>
      </x:c>
      <x:c r="F220" s="22" t="str"/>
      <x:c r="G220" s="22" t="str">
        <x:v>Firestoreの初期化を不要にするため</x:v>
      </x:c>
      <x:c r="H220" s="22" t="str">
        <x:v>CSSの読み込みを速くするため</x:v>
      </x:c>
      <x:c r="I220" s="22" t="str">
        <x:v>後から学習状況や問題品質を確認できるようにするため</x:v>
      </x:c>
      <x:c r="J220" s="22" t="str">
        <x:v>ブラウザのズーム率を固定するため</x:v>
      </x:c>
      <x:c r="K220" s="27" t="n">
        <x:v>3</x:v>
      </x:c>
      <x:c r="L220" s="22" t="str">
        <x:v>後から学習状況や問題品質を確認できるようにするため</x:v>
      </x:c>
      <x:c r="M220" s="22" t="str">
        <x:v>ログは後から見直すための材料です。</x:v>
      </x:c>
      <x:c r="N220" s="22" t="str">
        <x:v>問題と回答を記録すると、間違いやすいカテゴリ、問題文の分かりにくさ、ユーザー別の進捗を分析できます。</x:v>
      </x:c>
      <x:c r="O220" s="22" t="str">
        <x:v>全範囲</x:v>
      </x:c>
      <x:c r="P220" s="23" t="str">
        <x:v>Spreadsheet,ユーザーID,ログ</x:v>
      </x:c>
    </x:row>
    <x:row r="221" ht="72" customHeight="1">
      <x:c r="A221" s="21" t="str">
        <x:v>FSQ-220</x:v>
      </x:c>
      <x:c r="B221" s="22" t="str">
        <x:v>Spreadsheet連携</x:v>
      </x:c>
      <x:c r="C221" s="22" t="str">
        <x:v>応用</x:v>
      </x:c>
      <x:c r="D221" s="22" t="str">
        <x:v>4択</x:v>
      </x:c>
      <x:c r="E221" s="22" t="str">
        <x:v>Google Spreadsheetへ「回答日時」を記録する目的として最も適切なのは？</x:v>
      </x:c>
      <x:c r="F221" s="22" t="str"/>
      <x:c r="G221" s="22" t="str">
        <x:v>Firestoreの初期化を不要にするため</x:v>
      </x:c>
      <x:c r="H221" s="22" t="str">
        <x:v>CSSの読み込みを速くするため</x:v>
      </x:c>
      <x:c r="I221" s="22" t="str">
        <x:v>ブラウザのズーム率を固定するため</x:v>
      </x:c>
      <x:c r="J221" s="22" t="str">
        <x:v>後から学習状況や問題品質を確認できるようにするため</x:v>
      </x:c>
      <x:c r="K221" s="27" t="n">
        <x:v>4</x:v>
      </x:c>
      <x:c r="L221" s="22" t="str">
        <x:v>後から学習状況や問題品質を確認できるようにするため</x:v>
      </x:c>
      <x:c r="M221" s="22" t="str">
        <x:v>ログは後から見直すための材料です。</x:v>
      </x:c>
      <x:c r="N221" s="22" t="str">
        <x:v>問題と回答を記録すると、間違いやすいカテゴリ、問題文の分かりにくさ、ユーザー別の進捗を分析できます。</x:v>
      </x:c>
      <x:c r="O221" s="22" t="str">
        <x:v>全範囲</x:v>
      </x:c>
      <x:c r="P221" s="23" t="str">
        <x:v>Spreadsheet,回答日時,ログ</x:v>
      </x:c>
    </x:row>
    <x:row r="222" ht="72" customHeight="1">
      <x:c r="A222" s="21" t="str">
        <x:v>FSQ-221</x:v>
      </x:c>
      <x:c r="B222" s="22" t="str">
        <x:v>セキュリティ</x:v>
      </x:c>
      <x:c r="C222" s="22" t="str">
        <x:v>初級</x:v>
      </x:c>
      <x:c r="D222" s="22" t="str">
        <x:v>4択</x:v>
      </x:c>
      <x:c r="E222" s="22" t="str">
        <x:v>注文作成をクライアントから実行させる場合、本番で必ず検討したいものは？</x:v>
      </x:c>
      <x:c r="F222" s="22" t="str"/>
      <x:c r="G222" s="22" t="str">
        <x:v>Security Rulesで誰が何を読める・書けるか制限する</x:v>
      </x:c>
      <x:c r="H222" s="22" t="str">
        <x:v>CSSでボタンを小さくする</x:v>
      </x:c>
      <x:c r="I222" s="22" t="str">
        <x:v>ファイル名を長くする</x:v>
      </x:c>
      <x:c r="J222" s="22" t="str">
        <x:v>alertを多く出す</x:v>
      </x:c>
      <x:c r="K222" s="27" t="n">
        <x:v>1</x:v>
      </x:c>
      <x:c r="L222" s="22" t="str">
        <x:v>Security Rulesで誰が何を読める・書けるか制限する</x:v>
      </x:c>
      <x:c r="M222" s="22" t="str">
        <x:v>画面を隠すだけでは保護になりません。</x:v>
      </x:c>
      <x:c r="N222" s="22" t="str">
        <x:v>Firestoreはクライアントから直接アクセスできます。画面側の制御だけでなく、Security Rulesでデータ側の権限を守る必要があります。</x:v>
      </x:c>
      <x:c r="O222" s="22" t="str">
        <x:v>実装判断</x:v>
      </x:c>
      <x:c r="P222" s="23" t="str">
        <x:v>SecurityRules,注文作成,権限</x:v>
      </x:c>
    </x:row>
    <x:row r="223" ht="72" customHeight="1">
      <x:c r="A223" s="21" t="str">
        <x:v>FSQ-222</x:v>
      </x:c>
      <x:c r="B223" s="22" t="str">
        <x:v>セキュリティ</x:v>
      </x:c>
      <x:c r="C223" s="22" t="str">
        <x:v>初級</x:v>
      </x:c>
      <x:c r="D223" s="22" t="str">
        <x:v>4択</x:v>
      </x:c>
      <x:c r="E223" s="22" t="str">
        <x:v>注文更新をクライアントから実行させる場合、本番で必ず検討したいものは？</x:v>
      </x:c>
      <x:c r="F223" s="22" t="str"/>
      <x:c r="G223" s="22" t="str">
        <x:v>CSSでボタンを小さくする</x:v>
      </x:c>
      <x:c r="H223" s="22" t="str">
        <x:v>Security Rulesで誰が何を読める・書けるか制限する</x:v>
      </x:c>
      <x:c r="I223" s="22" t="str">
        <x:v>ファイル名を長くする</x:v>
      </x:c>
      <x:c r="J223" s="22" t="str">
        <x:v>alertを多く出す</x:v>
      </x:c>
      <x:c r="K223" s="27" t="n">
        <x:v>2</x:v>
      </x:c>
      <x:c r="L223" s="22" t="str">
        <x:v>Security Rulesで誰が何を読める・書けるか制限する</x:v>
      </x:c>
      <x:c r="M223" s="22" t="str">
        <x:v>画面を隠すだけでは保護になりません。</x:v>
      </x:c>
      <x:c r="N223" s="22" t="str">
        <x:v>Firestoreはクライアントから直接アクセスできます。画面側の制御だけでなく、Security Rulesでデータ側の権限を守る必要があります。</x:v>
      </x:c>
      <x:c r="O223" s="22" t="str">
        <x:v>実装判断</x:v>
      </x:c>
      <x:c r="P223" s="23" t="str">
        <x:v>SecurityRules,注文更新,権限</x:v>
      </x:c>
    </x:row>
    <x:row r="224" ht="72" customHeight="1">
      <x:c r="A224" s="21" t="str">
        <x:v>FSQ-223</x:v>
      </x:c>
      <x:c r="B224" s="22" t="str">
        <x:v>セキュリティ</x:v>
      </x:c>
      <x:c r="C224" s="22" t="str">
        <x:v>中級</x:v>
      </x:c>
      <x:c r="D224" s="22" t="str">
        <x:v>4択</x:v>
      </x:c>
      <x:c r="E224" s="22" t="str">
        <x:v>商品取消をクライアントから実行させる場合、本番で必ず検討したいものは？</x:v>
      </x:c>
      <x:c r="F224" s="22" t="str"/>
      <x:c r="G224" s="22" t="str">
        <x:v>CSSでボタンを小さくする</x:v>
      </x:c>
      <x:c r="H224" s="22" t="str">
        <x:v>ファイル名を長くする</x:v>
      </x:c>
      <x:c r="I224" s="22" t="str">
        <x:v>Security Rulesで誰が何を読める・書けるか制限する</x:v>
      </x:c>
      <x:c r="J224" s="22" t="str">
        <x:v>alertを多く出す</x:v>
      </x:c>
      <x:c r="K224" s="27" t="n">
        <x:v>3</x:v>
      </x:c>
      <x:c r="L224" s="22" t="str">
        <x:v>Security Rulesで誰が何を読める・書けるか制限する</x:v>
      </x:c>
      <x:c r="M224" s="22" t="str">
        <x:v>画面を隠すだけでは保護になりません。</x:v>
      </x:c>
      <x:c r="N224" s="22" t="str">
        <x:v>Firestoreはクライアントから直接アクセスできます。画面側の制御だけでなく、Security Rulesでデータ側の権限を守る必要があります。</x:v>
      </x:c>
      <x:c r="O224" s="22" t="str">
        <x:v>実装判断</x:v>
      </x:c>
      <x:c r="P224" s="23" t="str">
        <x:v>SecurityRules,商品取消,権限</x:v>
      </x:c>
    </x:row>
    <x:row r="225" ht="72" customHeight="1">
      <x:c r="A225" s="21" t="str">
        <x:v>FSQ-224</x:v>
      </x:c>
      <x:c r="B225" s="22" t="str">
        <x:v>セキュリティ</x:v>
      </x:c>
      <x:c r="C225" s="22" t="str">
        <x:v>中級</x:v>
      </x:c>
      <x:c r="D225" s="22" t="str">
        <x:v>4択</x:v>
      </x:c>
      <x:c r="E225" s="22" t="str">
        <x:v>提供完了をクライアントから実行させる場合、本番で必ず検討したいものは？</x:v>
      </x:c>
      <x:c r="F225" s="22" t="str"/>
      <x:c r="G225" s="22" t="str">
        <x:v>CSSでボタンを小さくする</x:v>
      </x:c>
      <x:c r="H225" s="22" t="str">
        <x:v>ファイル名を長くする</x:v>
      </x:c>
      <x:c r="I225" s="22" t="str">
        <x:v>alertを多く出す</x:v>
      </x:c>
      <x:c r="J225" s="22" t="str">
        <x:v>Security Rulesで誰が何を読める・書けるか制限する</x:v>
      </x:c>
      <x:c r="K225" s="27" t="n">
        <x:v>4</x:v>
      </x:c>
      <x:c r="L225" s="22" t="str">
        <x:v>Security Rulesで誰が何を読める・書けるか制限する</x:v>
      </x:c>
      <x:c r="M225" s="22" t="str">
        <x:v>画面を隠すだけでは保護になりません。</x:v>
      </x:c>
      <x:c r="N225" s="22" t="str">
        <x:v>Firestoreはクライアントから直接アクセスできます。画面側の制御だけでなく、Security Rulesでデータ側の権限を守る必要があります。</x:v>
      </x:c>
      <x:c r="O225" s="22" t="str">
        <x:v>実装判断</x:v>
      </x:c>
      <x:c r="P225" s="23" t="str">
        <x:v>SecurityRules,提供完了,権限</x:v>
      </x:c>
    </x:row>
    <x:row r="226" ht="72" customHeight="1">
      <x:c r="A226" s="21" t="str">
        <x:v>FSQ-225</x:v>
      </x:c>
      <x:c r="B226" s="22" t="str">
        <x:v>セキュリティ</x:v>
      </x:c>
      <x:c r="C226" s="22" t="str">
        <x:v>応用</x:v>
      </x:c>
      <x:c r="D226" s="22" t="str">
        <x:v>4択</x:v>
      </x:c>
      <x:c r="E226" s="22" t="str">
        <x:v>合算をクライアントから実行させる場合、本番で必ず検討したいものは？</x:v>
      </x:c>
      <x:c r="F226" s="22" t="str"/>
      <x:c r="G226" s="22" t="str">
        <x:v>Security Rulesで誰が何を読める・書けるか制限する</x:v>
      </x:c>
      <x:c r="H226" s="22" t="str">
        <x:v>CSSでボタンを小さくする</x:v>
      </x:c>
      <x:c r="I226" s="22" t="str">
        <x:v>ファイル名を長くする</x:v>
      </x:c>
      <x:c r="J226" s="22" t="str">
        <x:v>alertを多く出す</x:v>
      </x:c>
      <x:c r="K226" s="27" t="n">
        <x:v>1</x:v>
      </x:c>
      <x:c r="L226" s="22" t="str">
        <x:v>Security Rulesで誰が何を読める・書けるか制限する</x:v>
      </x:c>
      <x:c r="M226" s="22" t="str">
        <x:v>画面を隠すだけでは保護になりません。</x:v>
      </x:c>
      <x:c r="N226" s="22" t="str">
        <x:v>Firestoreはクライアントから直接アクセスできます。画面側の制御だけでなく、Security Rulesでデータ側の権限を守る必要があります。</x:v>
      </x:c>
      <x:c r="O226" s="22" t="str">
        <x:v>実装判断</x:v>
      </x:c>
      <x:c r="P226" s="23" t="str">
        <x:v>SecurityRules,合算,権限</x:v>
      </x:c>
    </x:row>
    <x:row r="227" ht="72" customHeight="1">
      <x:c r="A227" s="21" t="str">
        <x:v>FSQ-226</x:v>
      </x:c>
      <x:c r="B227" s="22" t="str">
        <x:v>セキュリティ</x:v>
      </x:c>
      <x:c r="C227" s="22" t="str">
        <x:v>初級</x:v>
      </x:c>
      <x:c r="D227" s="22" t="str">
        <x:v>4択</x:v>
      </x:c>
      <x:c r="E227" s="22" t="str">
        <x:v>テーブル変更をクライアントから実行させる場合、本番で必ず検討したいものは？</x:v>
      </x:c>
      <x:c r="F227" s="22" t="str"/>
      <x:c r="G227" s="22" t="str">
        <x:v>CSSでボタンを小さくする</x:v>
      </x:c>
      <x:c r="H227" s="22" t="str">
        <x:v>Security Rulesで誰が何を読める・書けるか制限する</x:v>
      </x:c>
      <x:c r="I227" s="22" t="str">
        <x:v>ファイル名を長くする</x:v>
      </x:c>
      <x:c r="J227" s="22" t="str">
        <x:v>alertを多く出す</x:v>
      </x:c>
      <x:c r="K227" s="27" t="n">
        <x:v>2</x:v>
      </x:c>
      <x:c r="L227" s="22" t="str">
        <x:v>Security Rulesで誰が何を読める・書けるか制限する</x:v>
      </x:c>
      <x:c r="M227" s="22" t="str">
        <x:v>画面を隠すだけでは保護になりません。</x:v>
      </x:c>
      <x:c r="N227" s="22" t="str">
        <x:v>Firestoreはクライアントから直接アクセスできます。画面側の制御だけでなく、Security Rulesでデータ側の権限を守る必要があります。</x:v>
      </x:c>
      <x:c r="O227" s="22" t="str">
        <x:v>実装判断</x:v>
      </x:c>
      <x:c r="P227" s="23" t="str">
        <x:v>SecurityRules,テーブル変更,権限</x:v>
      </x:c>
    </x:row>
    <x:row r="228" ht="72" customHeight="1">
      <x:c r="A228" s="21" t="str">
        <x:v>FSQ-227</x:v>
      </x:c>
      <x:c r="B228" s="22" t="str">
        <x:v>セキュリティ</x:v>
      </x:c>
      <x:c r="C228" s="22" t="str">
        <x:v>初級</x:v>
      </x:c>
      <x:c r="D228" s="22" t="str">
        <x:v>4択</x:v>
      </x:c>
      <x:c r="E228" s="22" t="str">
        <x:v>人数変更をクライアントから実行させる場合、本番で必ず検討したいものは？</x:v>
      </x:c>
      <x:c r="F228" s="22" t="str"/>
      <x:c r="G228" s="22" t="str">
        <x:v>CSSでボタンを小さくする</x:v>
      </x:c>
      <x:c r="H228" s="22" t="str">
        <x:v>ファイル名を長くする</x:v>
      </x:c>
      <x:c r="I228" s="22" t="str">
        <x:v>Security Rulesで誰が何を読める・書けるか制限する</x:v>
      </x:c>
      <x:c r="J228" s="22" t="str">
        <x:v>alertを多く出す</x:v>
      </x:c>
      <x:c r="K228" s="27" t="n">
        <x:v>3</x:v>
      </x:c>
      <x:c r="L228" s="22" t="str">
        <x:v>Security Rulesで誰が何を読める・書けるか制限する</x:v>
      </x:c>
      <x:c r="M228" s="22" t="str">
        <x:v>画面を隠すだけでは保護になりません。</x:v>
      </x:c>
      <x:c r="N228" s="22" t="str">
        <x:v>Firestoreはクライアントから直接アクセスできます。画面側の制御だけでなく、Security Rulesでデータ側の権限を守る必要があります。</x:v>
      </x:c>
      <x:c r="O228" s="22" t="str">
        <x:v>実装判断</x:v>
      </x:c>
      <x:c r="P228" s="23" t="str">
        <x:v>SecurityRules,人数変更,権限</x:v>
      </x:c>
    </x:row>
    <x:row r="229" ht="72" customHeight="1">
      <x:c r="A229" s="21" t="str">
        <x:v>FSQ-228</x:v>
      </x:c>
      <x:c r="B229" s="22" t="str">
        <x:v>セキュリティ</x:v>
      </x:c>
      <x:c r="C229" s="22" t="str">
        <x:v>中級</x:v>
      </x:c>
      <x:c r="D229" s="22" t="str">
        <x:v>4択</x:v>
      </x:c>
      <x:c r="E229" s="22" t="str">
        <x:v>担当者変更をクライアントから実行させる場合、本番で必ず検討したいものは？</x:v>
      </x:c>
      <x:c r="F229" s="22" t="str"/>
      <x:c r="G229" s="22" t="str">
        <x:v>CSSでボタンを小さくする</x:v>
      </x:c>
      <x:c r="H229" s="22" t="str">
        <x:v>ファイル名を長くする</x:v>
      </x:c>
      <x:c r="I229" s="22" t="str">
        <x:v>alertを多く出す</x:v>
      </x:c>
      <x:c r="J229" s="22" t="str">
        <x:v>Security Rulesで誰が何を読める・書けるか制限する</x:v>
      </x:c>
      <x:c r="K229" s="27" t="n">
        <x:v>4</x:v>
      </x:c>
      <x:c r="L229" s="22" t="str">
        <x:v>Security Rulesで誰が何を読める・書けるか制限する</x:v>
      </x:c>
      <x:c r="M229" s="22" t="str">
        <x:v>画面を隠すだけでは保護になりません。</x:v>
      </x:c>
      <x:c r="N229" s="22" t="str">
        <x:v>Firestoreはクライアントから直接アクセスできます。画面側の制御だけでなく、Security Rulesでデータ側の権限を守る必要があります。</x:v>
      </x:c>
      <x:c r="O229" s="22" t="str">
        <x:v>実装判断</x:v>
      </x:c>
      <x:c r="P229" s="23" t="str">
        <x:v>SecurityRules,担当者変更,権限</x:v>
      </x:c>
    </x:row>
    <x:row r="230" ht="72" customHeight="1">
      <x:c r="A230" s="21" t="str">
        <x:v>FSQ-229</x:v>
      </x:c>
      <x:c r="B230" s="22" t="str">
        <x:v>セキュリティ</x:v>
      </x:c>
      <x:c r="C230" s="22" t="str">
        <x:v>中級</x:v>
      </x:c>
      <x:c r="D230" s="22" t="str">
        <x:v>4択</x:v>
      </x:c>
      <x:c r="E230" s="22" t="str">
        <x:v>ログ保存をクライアントから実行させる場合、本番で必ず検討したいものは？</x:v>
      </x:c>
      <x:c r="F230" s="22" t="str"/>
      <x:c r="G230" s="22" t="str">
        <x:v>Security Rulesで誰が何を読める・書けるか制限する</x:v>
      </x:c>
      <x:c r="H230" s="22" t="str">
        <x:v>CSSでボタンを小さくする</x:v>
      </x:c>
      <x:c r="I230" s="22" t="str">
        <x:v>ファイル名を長くする</x:v>
      </x:c>
      <x:c r="J230" s="22" t="str">
        <x:v>alertを多く出す</x:v>
      </x:c>
      <x:c r="K230" s="27" t="n">
        <x:v>1</x:v>
      </x:c>
      <x:c r="L230" s="22" t="str">
        <x:v>Security Rulesで誰が何を読める・書けるか制限する</x:v>
      </x:c>
      <x:c r="M230" s="22" t="str">
        <x:v>画面を隠すだけでは保護になりません。</x:v>
      </x:c>
      <x:c r="N230" s="22" t="str">
        <x:v>Firestoreはクライアントから直接アクセスできます。画面側の制御だけでなく、Security Rulesでデータ側の権限を守る必要があります。</x:v>
      </x:c>
      <x:c r="O230" s="22" t="str">
        <x:v>実装判断</x:v>
      </x:c>
      <x:c r="P230" s="23" t="str">
        <x:v>SecurityRules,ログ保存,権限</x:v>
      </x:c>
    </x:row>
    <x:row r="231" ht="72" customHeight="1">
      <x:c r="A231" s="21" t="str">
        <x:v>FSQ-230</x:v>
      </x:c>
      <x:c r="B231" s="22" t="str">
        <x:v>セキュリティ</x:v>
      </x:c>
      <x:c r="C231" s="22" t="str">
        <x:v>応用</x:v>
      </x:c>
      <x:c r="D231" s="22" t="str">
        <x:v>4択</x:v>
      </x:c>
      <x:c r="E231" s="22" t="str">
        <x:v>問題保存をクライアントから実行させる場合、本番で必ず検討したいものは？</x:v>
      </x:c>
      <x:c r="F231" s="22" t="str"/>
      <x:c r="G231" s="22" t="str">
        <x:v>CSSでボタンを小さくする</x:v>
      </x:c>
      <x:c r="H231" s="22" t="str">
        <x:v>Security Rulesで誰が何を読める・書けるか制限する</x:v>
      </x:c>
      <x:c r="I231" s="22" t="str">
        <x:v>ファイル名を長くする</x:v>
      </x:c>
      <x:c r="J231" s="22" t="str">
        <x:v>alertを多く出す</x:v>
      </x:c>
      <x:c r="K231" s="27" t="n">
        <x:v>2</x:v>
      </x:c>
      <x:c r="L231" s="22" t="str">
        <x:v>Security Rulesで誰が何を読める・書けるか制限する</x:v>
      </x:c>
      <x:c r="M231" s="22" t="str">
        <x:v>画面を隠すだけでは保護になりません。</x:v>
      </x:c>
      <x:c r="N231" s="22" t="str">
        <x:v>Firestoreはクライアントから直接アクセスできます。画面側の制御だけでなく、Security Rulesでデータ側の権限を守る必要があります。</x:v>
      </x:c>
      <x:c r="O231" s="22" t="str">
        <x:v>実装判断</x:v>
      </x:c>
      <x:c r="P231" s="23" t="str">
        <x:v>SecurityRules,問題保存,権限</x:v>
      </x:c>
    </x:row>
    <x:row r="232" ht="72" customHeight="1">
      <x:c r="A232" s="21" t="str">
        <x:v>FSQ-231</x:v>
      </x:c>
      <x:c r="B232" s="22" t="str">
        <x:v>実装判断</x:v>
      </x:c>
      <x:c r="C232" s="22" t="str">
        <x:v>初級</x:v>
      </x:c>
      <x:c r="D232" s="22" t="str">
        <x:v>4択</x:v>
      </x:c>
      <x:c r="E232" s="22" t="str">
        <x:v>商品数を画面に表示するだけでなく後から集計したい。保存するときに意識することは？</x:v>
      </x:c>
      <x:c r="F232" s="22" t="str"/>
      <x:c r="G232" s="22" t="str">
        <x:v>文字列の文章だけに埋め込む</x:v>
      </x:c>
      <x:c r="H232" s="22" t="str">
        <x:v>毎回画像として保存する</x:v>
      </x:c>
      <x:c r="I232" s="22" t="str">
        <x:v>数値として保存し、必要なら集計しやすい単位に分ける</x:v>
      </x:c>
      <x:c r="J232" s="22" t="str">
        <x:v>HTMLコメントへ保存する</x:v>
      </x:c>
      <x:c r="K232" s="27" t="n">
        <x:v>3</x:v>
      </x:c>
      <x:c r="L232" s="22" t="str">
        <x:v>数値として保存し、必要なら集計しやすい単位に分ける</x:v>
      </x:c>
      <x:c r="M232" s="22" t="str">
        <x:v>集計に使う値はデータ型が重要です。</x:v>
      </x:c>
      <x:c r="N232" s="22" t="str">
        <x:v>数値を文字列の文章に埋め込むと集計しづらくなります。数値・日時・カテゴリを分けて保存すると分析しやすくなります。</x:v>
      </x:c>
      <x:c r="O232" s="22" t="str">
        <x:v>実装判断</x:v>
      </x:c>
      <x:c r="P232" s="23" t="str">
        <x:v>集計,商品数,データ型</x:v>
      </x:c>
    </x:row>
    <x:row r="233" ht="72" customHeight="1">
      <x:c r="A233" s="21" t="str">
        <x:v>FSQ-232</x:v>
      </x:c>
      <x:c r="B233" s="22" t="str">
        <x:v>実装判断</x:v>
      </x:c>
      <x:c r="C233" s="22" t="str">
        <x:v>初級</x:v>
      </x:c>
      <x:c r="D233" s="22" t="str">
        <x:v>4択</x:v>
      </x:c>
      <x:c r="E233" s="22" t="str">
        <x:v>注文金額を画面に表示するだけでなく後から集計したい。保存するときに意識することは？</x:v>
      </x:c>
      <x:c r="F233" s="22" t="str"/>
      <x:c r="G233" s="22" t="str">
        <x:v>文字列の文章だけに埋め込む</x:v>
      </x:c>
      <x:c r="H233" s="22" t="str">
        <x:v>毎回画像として保存する</x:v>
      </x:c>
      <x:c r="I233" s="22" t="str">
        <x:v>HTMLコメントへ保存する</x:v>
      </x:c>
      <x:c r="J233" s="22" t="str">
        <x:v>数値として保存し、必要なら集計しやすい単位に分ける</x:v>
      </x:c>
      <x:c r="K233" s="27" t="n">
        <x:v>4</x:v>
      </x:c>
      <x:c r="L233" s="22" t="str">
        <x:v>数値として保存し、必要なら集計しやすい単位に分ける</x:v>
      </x:c>
      <x:c r="M233" s="22" t="str">
        <x:v>集計に使う値はデータ型が重要です。</x:v>
      </x:c>
      <x:c r="N233" s="22" t="str">
        <x:v>数値を文字列の文章に埋め込むと集計しづらくなります。数値・日時・カテゴリを分けて保存すると分析しやすくなります。</x:v>
      </x:c>
      <x:c r="O233" s="22" t="str">
        <x:v>実装判断</x:v>
      </x:c>
      <x:c r="P233" s="23" t="str">
        <x:v>集計,注文金額,データ型</x:v>
      </x:c>
    </x:row>
    <x:row r="234" ht="72" customHeight="1">
      <x:c r="A234" s="21" t="str">
        <x:v>FSQ-233</x:v>
      </x:c>
      <x:c r="B234" s="22" t="str">
        <x:v>実装判断</x:v>
      </x:c>
      <x:c r="C234" s="22" t="str">
        <x:v>中級</x:v>
      </x:c>
      <x:c r="D234" s="22" t="str">
        <x:v>4択</x:v>
      </x:c>
      <x:c r="E234" s="22" t="str">
        <x:v>在庫数を画面に表示するだけでなく後から集計したい。保存するときに意識することは？</x:v>
      </x:c>
      <x:c r="F234" s="22" t="str"/>
      <x:c r="G234" s="22" t="str">
        <x:v>数値として保存し、必要なら集計しやすい単位に分ける</x:v>
      </x:c>
      <x:c r="H234" s="22" t="str">
        <x:v>文字列の文章だけに埋め込む</x:v>
      </x:c>
      <x:c r="I234" s="22" t="str">
        <x:v>毎回画像として保存する</x:v>
      </x:c>
      <x:c r="J234" s="22" t="str">
        <x:v>HTMLコメントへ保存する</x:v>
      </x:c>
      <x:c r="K234" s="27" t="n">
        <x:v>1</x:v>
      </x:c>
      <x:c r="L234" s="22" t="str">
        <x:v>数値として保存し、必要なら集計しやすい単位に分ける</x:v>
      </x:c>
      <x:c r="M234" s="22" t="str">
        <x:v>集計に使う値はデータ型が重要です。</x:v>
      </x:c>
      <x:c r="N234" s="22" t="str">
        <x:v>数値を文字列の文章に埋め込むと集計しづらくなります。数値・日時・カテゴリを分けて保存すると分析しやすくなります。</x:v>
      </x:c>
      <x:c r="O234" s="22" t="str">
        <x:v>実装判断</x:v>
      </x:c>
      <x:c r="P234" s="23" t="str">
        <x:v>集計,在庫数,データ型</x:v>
      </x:c>
    </x:row>
    <x:row r="235" ht="72" customHeight="1">
      <x:c r="A235" s="21" t="str">
        <x:v>FSQ-234</x:v>
      </x:c>
      <x:c r="B235" s="22" t="str">
        <x:v>実装判断</x:v>
      </x:c>
      <x:c r="C235" s="22" t="str">
        <x:v>中級</x:v>
      </x:c>
      <x:c r="D235" s="22" t="str">
        <x:v>4択</x:v>
      </x:c>
      <x:c r="E235" s="22" t="str">
        <x:v>提供待ち件数を画面に表示するだけでなく後から集計したい。保存するときに意識することは？</x:v>
      </x:c>
      <x:c r="F235" s="22" t="str"/>
      <x:c r="G235" s="22" t="str">
        <x:v>文字列の文章だけに埋め込む</x:v>
      </x:c>
      <x:c r="H235" s="22" t="str">
        <x:v>数値として保存し、必要なら集計しやすい単位に分ける</x:v>
      </x:c>
      <x:c r="I235" s="22" t="str">
        <x:v>毎回画像として保存する</x:v>
      </x:c>
      <x:c r="J235" s="22" t="str">
        <x:v>HTMLコメントへ保存する</x:v>
      </x:c>
      <x:c r="K235" s="27" t="n">
        <x:v>2</x:v>
      </x:c>
      <x:c r="L235" s="22" t="str">
        <x:v>数値として保存し、必要なら集計しやすい単位に分ける</x:v>
      </x:c>
      <x:c r="M235" s="22" t="str">
        <x:v>集計に使う値はデータ型が重要です。</x:v>
      </x:c>
      <x:c r="N235" s="22" t="str">
        <x:v>数値を文字列の文章に埋め込むと集計しづらくなります。数値・日時・カテゴリを分けて保存すると分析しやすくなります。</x:v>
      </x:c>
      <x:c r="O235" s="22" t="str">
        <x:v>実装判断</x:v>
      </x:c>
      <x:c r="P235" s="23" t="str">
        <x:v>集計,提供待ち件数,データ型</x:v>
      </x:c>
    </x:row>
    <x:row r="236" ht="72" customHeight="1">
      <x:c r="A236" s="21" t="str">
        <x:v>FSQ-235</x:v>
      </x:c>
      <x:c r="B236" s="22" t="str">
        <x:v>実装判断</x:v>
      </x:c>
      <x:c r="C236" s="22" t="str">
        <x:v>応用</x:v>
      </x:c>
      <x:c r="D236" s="22" t="str">
        <x:v>4択</x:v>
      </x:c>
      <x:c r="E236" s="22" t="str">
        <x:v>調理中件数を画面に表示するだけでなく後から集計したい。保存するときに意識することは？</x:v>
      </x:c>
      <x:c r="F236" s="22" t="str"/>
      <x:c r="G236" s="22" t="str">
        <x:v>文字列の文章だけに埋め込む</x:v>
      </x:c>
      <x:c r="H236" s="22" t="str">
        <x:v>毎回画像として保存する</x:v>
      </x:c>
      <x:c r="I236" s="22" t="str">
        <x:v>数値として保存し、必要なら集計しやすい単位に分ける</x:v>
      </x:c>
      <x:c r="J236" s="22" t="str">
        <x:v>HTMLコメントへ保存する</x:v>
      </x:c>
      <x:c r="K236" s="27" t="n">
        <x:v>3</x:v>
      </x:c>
      <x:c r="L236" s="22" t="str">
        <x:v>数値として保存し、必要なら集計しやすい単位に分ける</x:v>
      </x:c>
      <x:c r="M236" s="22" t="str">
        <x:v>集計に使う値はデータ型が重要です。</x:v>
      </x:c>
      <x:c r="N236" s="22" t="str">
        <x:v>数値を文字列の文章に埋め込むと集計しづらくなります。数値・日時・カテゴリを分けて保存すると分析しやすくなります。</x:v>
      </x:c>
      <x:c r="O236" s="22" t="str">
        <x:v>実装判断</x:v>
      </x:c>
      <x:c r="P236" s="23" t="str">
        <x:v>集計,調理中件数,データ型</x:v>
      </x:c>
    </x:row>
    <x:row r="237" ht="72" customHeight="1">
      <x:c r="A237" s="21" t="str">
        <x:v>FSQ-236</x:v>
      </x:c>
      <x:c r="B237" s="22" t="str">
        <x:v>実装判断</x:v>
      </x:c>
      <x:c r="C237" s="22" t="str">
        <x:v>初級</x:v>
      </x:c>
      <x:c r="D237" s="22" t="str">
        <x:v>4択</x:v>
      </x:c>
      <x:c r="E237" s="22" t="str">
        <x:v>キャンセル数を画面に表示するだけでなく後から集計したい。保存するときに意識することは？</x:v>
      </x:c>
      <x:c r="F237" s="22" t="str"/>
      <x:c r="G237" s="22" t="str">
        <x:v>文字列の文章だけに埋め込む</x:v>
      </x:c>
      <x:c r="H237" s="22" t="str">
        <x:v>毎回画像として保存する</x:v>
      </x:c>
      <x:c r="I237" s="22" t="str">
        <x:v>HTMLコメントへ保存する</x:v>
      </x:c>
      <x:c r="J237" s="22" t="str">
        <x:v>数値として保存し、必要なら集計しやすい単位に分ける</x:v>
      </x:c>
      <x:c r="K237" s="27" t="n">
        <x:v>4</x:v>
      </x:c>
      <x:c r="L237" s="22" t="str">
        <x:v>数値として保存し、必要なら集計しやすい単位に分ける</x:v>
      </x:c>
      <x:c r="M237" s="22" t="str">
        <x:v>集計に使う値はデータ型が重要です。</x:v>
      </x:c>
      <x:c r="N237" s="22" t="str">
        <x:v>数値を文字列の文章に埋め込むと集計しづらくなります。数値・日時・カテゴリを分けて保存すると分析しやすくなります。</x:v>
      </x:c>
      <x:c r="O237" s="22" t="str">
        <x:v>実装判断</x:v>
      </x:c>
      <x:c r="P237" s="23" t="str">
        <x:v>集計,キャンセル数,データ型</x:v>
      </x:c>
    </x:row>
    <x:row r="238" ht="72" customHeight="1">
      <x:c r="A238" s="21" t="str">
        <x:v>FSQ-237</x:v>
      </x:c>
      <x:c r="B238" s="22" t="str">
        <x:v>実装判断</x:v>
      </x:c>
      <x:c r="C238" s="22" t="str">
        <x:v>初級</x:v>
      </x:c>
      <x:c r="D238" s="22" t="str">
        <x:v>4択</x:v>
      </x:c>
      <x:c r="E238" s="22" t="str">
        <x:v>学習回答数を画面に表示するだけでなく後から集計したい。保存するときに意識することは？</x:v>
      </x:c>
      <x:c r="F238" s="22" t="str"/>
      <x:c r="G238" s="22" t="str">
        <x:v>数値として保存し、必要なら集計しやすい単位に分ける</x:v>
      </x:c>
      <x:c r="H238" s="22" t="str">
        <x:v>文字列の文章だけに埋め込む</x:v>
      </x:c>
      <x:c r="I238" s="22" t="str">
        <x:v>毎回画像として保存する</x:v>
      </x:c>
      <x:c r="J238" s="22" t="str">
        <x:v>HTMLコメントへ保存する</x:v>
      </x:c>
      <x:c r="K238" s="27" t="n">
        <x:v>1</x:v>
      </x:c>
      <x:c r="L238" s="22" t="str">
        <x:v>数値として保存し、必要なら集計しやすい単位に分ける</x:v>
      </x:c>
      <x:c r="M238" s="22" t="str">
        <x:v>集計に使う値はデータ型が重要です。</x:v>
      </x:c>
      <x:c r="N238" s="22" t="str">
        <x:v>数値を文字列の文章に埋め込むと集計しづらくなります。数値・日時・カテゴリを分けて保存すると分析しやすくなります。</x:v>
      </x:c>
      <x:c r="O238" s="22" t="str">
        <x:v>実装判断</x:v>
      </x:c>
      <x:c r="P238" s="23" t="str">
        <x:v>集計,学習回答数,データ型</x:v>
      </x:c>
    </x:row>
    <x:row r="239" ht="72" customHeight="1">
      <x:c r="A239" s="21" t="str">
        <x:v>FSQ-238</x:v>
      </x:c>
      <x:c r="B239" s="22" t="str">
        <x:v>実装判断</x:v>
      </x:c>
      <x:c r="C239" s="22" t="str">
        <x:v>中級</x:v>
      </x:c>
      <x:c r="D239" s="22" t="str">
        <x:v>4択</x:v>
      </x:c>
      <x:c r="E239" s="22" t="str">
        <x:v>弱点問題数を画面に表示するだけでなく後から集計したい。保存するときに意識することは？</x:v>
      </x:c>
      <x:c r="F239" s="22" t="str"/>
      <x:c r="G239" s="22" t="str">
        <x:v>文字列の文章だけに埋め込む</x:v>
      </x:c>
      <x:c r="H239" s="22" t="str">
        <x:v>数値として保存し、必要なら集計しやすい単位に分ける</x:v>
      </x:c>
      <x:c r="I239" s="22" t="str">
        <x:v>毎回画像として保存する</x:v>
      </x:c>
      <x:c r="J239" s="22" t="str">
        <x:v>HTMLコメントへ保存する</x:v>
      </x:c>
      <x:c r="K239" s="27" t="n">
        <x:v>2</x:v>
      </x:c>
      <x:c r="L239" s="22" t="str">
        <x:v>数値として保存し、必要なら集計しやすい単位に分ける</x:v>
      </x:c>
      <x:c r="M239" s="22" t="str">
        <x:v>集計に使う値はデータ型が重要です。</x:v>
      </x:c>
      <x:c r="N239" s="22" t="str">
        <x:v>数値を文字列の文章に埋め込むと集計しづらくなります。数値・日時・カテゴリを分けて保存すると分析しやすくなります。</x:v>
      </x:c>
      <x:c r="O239" s="22" t="str">
        <x:v>実装判断</x:v>
      </x:c>
      <x:c r="P239" s="23" t="str">
        <x:v>集計,弱点問題数,データ型</x:v>
      </x:c>
    </x:row>
    <x:row r="240" ht="72" customHeight="1">
      <x:c r="A240" s="21" t="str">
        <x:v>FSQ-239</x:v>
      </x:c>
      <x:c r="B240" s="22" t="str">
        <x:v>実装判断</x:v>
      </x:c>
      <x:c r="C240" s="22" t="str">
        <x:v>中級</x:v>
      </x:c>
      <x:c r="D240" s="22" t="str">
        <x:v>4択</x:v>
      </x:c>
      <x:c r="E240" s="22" t="str">
        <x:v>連続学習日数を画面に表示するだけでなく後から集計したい。保存するときに意識することは？</x:v>
      </x:c>
      <x:c r="F240" s="22" t="str"/>
      <x:c r="G240" s="22" t="str">
        <x:v>文字列の文章だけに埋め込む</x:v>
      </x:c>
      <x:c r="H240" s="22" t="str">
        <x:v>毎回画像として保存する</x:v>
      </x:c>
      <x:c r="I240" s="22" t="str">
        <x:v>数値として保存し、必要なら集計しやすい単位に分ける</x:v>
      </x:c>
      <x:c r="J240" s="22" t="str">
        <x:v>HTMLコメントへ保存する</x:v>
      </x:c>
      <x:c r="K240" s="27" t="n">
        <x:v>3</x:v>
      </x:c>
      <x:c r="L240" s="22" t="str">
        <x:v>数値として保存し、必要なら集計しやすい単位に分ける</x:v>
      </x:c>
      <x:c r="M240" s="22" t="str">
        <x:v>集計に使う値はデータ型が重要です。</x:v>
      </x:c>
      <x:c r="N240" s="22" t="str">
        <x:v>数値を文字列の文章に埋め込むと集計しづらくなります。数値・日時・カテゴリを分けて保存すると分析しやすくなります。</x:v>
      </x:c>
      <x:c r="O240" s="22" t="str">
        <x:v>実装判断</x:v>
      </x:c>
      <x:c r="P240" s="23" t="str">
        <x:v>集計,連続学習日数,データ型</x:v>
      </x:c>
    </x:row>
    <x:row r="241" ht="72" customHeight="1">
      <x:c r="A241" s="24" t="str">
        <x:v>FSQ-240</x:v>
      </x:c>
      <x:c r="B241" s="25" t="str">
        <x:v>実装判断</x:v>
      </x:c>
      <x:c r="C241" s="25" t="str">
        <x:v>応用</x:v>
      </x:c>
      <x:c r="D241" s="25" t="str">
        <x:v>4択</x:v>
      </x:c>
      <x:c r="E241" s="25" t="str">
        <x:v>正答率を画面に表示するだけでなく後から集計したい。保存するときに意識することは？</x:v>
      </x:c>
      <x:c r="F241" s="25" t="str"/>
      <x:c r="G241" s="25" t="str">
        <x:v>文字列の文章だけに埋め込む</x:v>
      </x:c>
      <x:c r="H241" s="25" t="str">
        <x:v>毎回画像として保存する</x:v>
      </x:c>
      <x:c r="I241" s="25" t="str">
        <x:v>HTMLコメントへ保存する</x:v>
      </x:c>
      <x:c r="J241" s="25" t="str">
        <x:v>数値として保存し、必要なら集計しやすい単位に分ける</x:v>
      </x:c>
      <x:c r="K241" s="28" t="n">
        <x:v>4</x:v>
      </x:c>
      <x:c r="L241" s="25" t="str">
        <x:v>数値として保存し、必要なら集計しやすい単位に分ける</x:v>
      </x:c>
      <x:c r="M241" s="25" t="str">
        <x:v>集計に使う値はデータ型が重要です。</x:v>
      </x:c>
      <x:c r="N241" s="25" t="str">
        <x:v>数値を文字列の文章に埋め込むと集計しづらくなります。数値・日時・カテゴリを分けて保存すると分析しやすくなります。</x:v>
      </x:c>
      <x:c r="O241" s="25" t="str">
        <x:v>実装判断</x:v>
      </x:c>
      <x:c r="P241" s="26" t="str">
        <x:v>集計,正答率,データ型</x:v>
      </x:c>
    </x:row>
  </x:sheetData>
  <x:dataValidations count="3">
    <x:dataValidation type="list" sqref="B2:B241">
      <x:formula1>"基本操作,参照,検索,更新,削除,リアルタイム,時刻,設計,整合性,セキュリティ,KDS,データ品質,Spreadsheet連携,UX,運用,実装判断"</x:formula1>
    </x:dataValidation>
    <x:dataValidation type="list" sqref="C2:C241">
      <x:formula1>"初級,中級,応用"</x:formula1>
    </x:dataValidation>
    <x:dataValidation type="whole" operator="between" sqref="K2:K241">
      <x:formula1>1</x:formula1>
      <x:formula2>4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67382fd04094de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32" t="str">
        <x:v>カテゴリ</x:v>
      </x:c>
      <x:c r="B1" s="33" t="str">
        <x:v>問題数</x:v>
      </x:c>
      <x:c r="C1" s="33" t="str">
        <x:v>初級</x:v>
      </x:c>
      <x:c r="D1" s="33" t="str">
        <x:v>中級</x:v>
      </x:c>
      <x:c r="E1" s="34" t="str">
        <x:v>応用</x:v>
      </x:c>
    </x:row>
    <x:row r="2">
      <x:c r="A2" s="9" t="str">
        <x:v>基本操作</x:v>
      </x:c>
      <x:c r="B2" s="35" t="n">
        <x:f>COUNTIF('問題マスタ'!$B$2:$B$241,"基本操作")</x:f>
        <x:v>20</x:v>
      </x:c>
      <x:c r="C2" s="35" t="n">
        <x:f>COUNTIFS('問題マスタ'!$B$2:$B$241,"基本操作",'問題マスタ'!$C$2:$C$241,"初級")</x:f>
        <x:v>8</x:v>
      </x:c>
      <x:c r="D2" s="35" t="n">
        <x:f>COUNTIFS('問題マスタ'!$B$2:$B$241,"基本操作",'問題マスタ'!$C$2:$C$241,"中級")</x:f>
        <x:v>8</x:v>
      </x:c>
      <x:c r="E2" s="36" t="n">
        <x:f>COUNTIFS('問題マスタ'!$B$2:$B$241,"基本操作",'問題マスタ'!$C$2:$C$241,"応用")</x:f>
        <x:v>4</x:v>
      </x:c>
    </x:row>
    <x:row r="3">
      <x:c r="A3" s="9" t="str">
        <x:v>参照</x:v>
      </x:c>
      <x:c r="B3" s="35" t="n">
        <x:f>COUNTIF('問題マスタ'!$B$2:$B$241,"参照")</x:f>
        <x:v>10</x:v>
      </x:c>
      <x:c r="C3" s="35" t="n">
        <x:f>COUNTIFS('問題マスタ'!$B$2:$B$241,"参照",'問題マスタ'!$C$2:$C$241,"初級")</x:f>
        <x:v>4</x:v>
      </x:c>
      <x:c r="D3" s="35" t="n">
        <x:f>COUNTIFS('問題マスタ'!$B$2:$B$241,"参照",'問題マスタ'!$C$2:$C$241,"中級")</x:f>
        <x:v>4</x:v>
      </x:c>
      <x:c r="E3" s="36" t="n">
        <x:f>COUNTIFS('問題マスタ'!$B$2:$B$241,"参照",'問題マスタ'!$C$2:$C$241,"応用")</x:f>
        <x:v>2</x:v>
      </x:c>
    </x:row>
    <x:row r="4">
      <x:c r="A4" s="9" t="str">
        <x:v>検索</x:v>
      </x:c>
      <x:c r="B4" s="35" t="n">
        <x:f>COUNTIF('問題マスタ'!$B$2:$B$241,"検索")</x:f>
        <x:v>20</x:v>
      </x:c>
      <x:c r="C4" s="35" t="n">
        <x:f>COUNTIFS('問題マスタ'!$B$2:$B$241,"検索",'問題マスタ'!$C$2:$C$241,"初級")</x:f>
        <x:v>8</x:v>
      </x:c>
      <x:c r="D4" s="35" t="n">
        <x:f>COUNTIFS('問題マスタ'!$B$2:$B$241,"検索",'問題マスタ'!$C$2:$C$241,"中級")</x:f>
        <x:v>8</x:v>
      </x:c>
      <x:c r="E4" s="36" t="n">
        <x:f>COUNTIFS('問題マスタ'!$B$2:$B$241,"検索",'問題マスタ'!$C$2:$C$241,"応用")</x:f>
        <x:v>4</x:v>
      </x:c>
    </x:row>
    <x:row r="5">
      <x:c r="A5" s="9" t="str">
        <x:v>更新</x:v>
      </x:c>
      <x:c r="B5" s="35" t="n">
        <x:f>COUNTIF('問題マスタ'!$B$2:$B$241,"更新")</x:f>
        <x:v>10</x:v>
      </x:c>
      <x:c r="C5" s="35" t="n">
        <x:f>COUNTIFS('問題マスタ'!$B$2:$B$241,"更新",'問題マスタ'!$C$2:$C$241,"初級")</x:f>
        <x:v>4</x:v>
      </x:c>
      <x:c r="D5" s="35" t="n">
        <x:f>COUNTIFS('問題マスタ'!$B$2:$B$241,"更新",'問題マスタ'!$C$2:$C$241,"中級")</x:f>
        <x:v>4</x:v>
      </x:c>
      <x:c r="E5" s="36" t="n">
        <x:f>COUNTIFS('問題マスタ'!$B$2:$B$241,"更新",'問題マスタ'!$C$2:$C$241,"応用")</x:f>
        <x:v>2</x:v>
      </x:c>
    </x:row>
    <x:row r="6">
      <x:c r="A6" s="9" t="str">
        <x:v>削除</x:v>
      </x:c>
      <x:c r="B6" s="35" t="n">
        <x:f>COUNTIF('問題マスタ'!$B$2:$B$241,"削除")</x:f>
        <x:v>10</x:v>
      </x:c>
      <x:c r="C6" s="35" t="n">
        <x:f>COUNTIFS('問題マスタ'!$B$2:$B$241,"削除",'問題マスタ'!$C$2:$C$241,"初級")</x:f>
        <x:v>4</x:v>
      </x:c>
      <x:c r="D6" s="35" t="n">
        <x:f>COUNTIFS('問題マスタ'!$B$2:$B$241,"削除",'問題マスタ'!$C$2:$C$241,"中級")</x:f>
        <x:v>4</x:v>
      </x:c>
      <x:c r="E6" s="36" t="n">
        <x:f>COUNTIFS('問題マスタ'!$B$2:$B$241,"削除",'問題マスタ'!$C$2:$C$241,"応用")</x:f>
        <x:v>2</x:v>
      </x:c>
    </x:row>
    <x:row r="7">
      <x:c r="A7" s="9" t="str">
        <x:v>リアルタイム</x:v>
      </x:c>
      <x:c r="B7" s="35" t="n">
        <x:f>COUNTIF('問題マスタ'!$B$2:$B$241,"リアルタイム")</x:f>
        <x:v>10</x:v>
      </x:c>
      <x:c r="C7" s="35" t="n">
        <x:f>COUNTIFS('問題マスタ'!$B$2:$B$241,"リアルタイム",'問題マスタ'!$C$2:$C$241,"初級")</x:f>
        <x:v>4</x:v>
      </x:c>
      <x:c r="D7" s="35" t="n">
        <x:f>COUNTIFS('問題マスタ'!$B$2:$B$241,"リアルタイム",'問題マスタ'!$C$2:$C$241,"中級")</x:f>
        <x:v>4</x:v>
      </x:c>
      <x:c r="E7" s="36" t="n">
        <x:f>COUNTIFS('問題マスタ'!$B$2:$B$241,"リアルタイム",'問題マスタ'!$C$2:$C$241,"応用")</x:f>
        <x:v>2</x:v>
      </x:c>
    </x:row>
    <x:row r="8">
      <x:c r="A8" s="9" t="str">
        <x:v>時刻</x:v>
      </x:c>
      <x:c r="B8" s="35" t="n">
        <x:f>COUNTIF('問題マスタ'!$B$2:$B$241,"時刻")</x:f>
        <x:v>10</x:v>
      </x:c>
      <x:c r="C8" s="35" t="n">
        <x:f>COUNTIFS('問題マスタ'!$B$2:$B$241,"時刻",'問題マスタ'!$C$2:$C$241,"初級")</x:f>
        <x:v>4</x:v>
      </x:c>
      <x:c r="D8" s="35" t="n">
        <x:f>COUNTIFS('問題マスタ'!$B$2:$B$241,"時刻",'問題マスタ'!$C$2:$C$241,"中級")</x:f>
        <x:v>4</x:v>
      </x:c>
      <x:c r="E8" s="36" t="n">
        <x:f>COUNTIFS('問題マスタ'!$B$2:$B$241,"時刻",'問題マスタ'!$C$2:$C$241,"応用")</x:f>
        <x:v>2</x:v>
      </x:c>
    </x:row>
    <x:row r="9">
      <x:c r="A9" s="9" t="str">
        <x:v>設計</x:v>
      </x:c>
      <x:c r="B9" s="35" t="n">
        <x:f>COUNTIF('問題マスタ'!$B$2:$B$241,"設計")</x:f>
        <x:v>20</x:v>
      </x:c>
      <x:c r="C9" s="35" t="n">
        <x:f>COUNTIFS('問題マスタ'!$B$2:$B$241,"設計",'問題マスタ'!$C$2:$C$241,"初級")</x:f>
        <x:v>8</x:v>
      </x:c>
      <x:c r="D9" s="35" t="n">
        <x:f>COUNTIFS('問題マスタ'!$B$2:$B$241,"設計",'問題マスタ'!$C$2:$C$241,"中級")</x:f>
        <x:v>8</x:v>
      </x:c>
      <x:c r="E9" s="36" t="n">
        <x:f>COUNTIFS('問題マスタ'!$B$2:$B$241,"設計",'問題マスタ'!$C$2:$C$241,"応用")</x:f>
        <x:v>4</x:v>
      </x:c>
    </x:row>
    <x:row r="10">
      <x:c r="A10" s="9" t="str">
        <x:v>整合性</x:v>
      </x:c>
      <x:c r="B10" s="35" t="n">
        <x:f>COUNTIF('問題マスタ'!$B$2:$B$241,"整合性")</x:f>
        <x:v>10</x:v>
      </x:c>
      <x:c r="C10" s="35" t="n">
        <x:f>COUNTIFS('問題マスタ'!$B$2:$B$241,"整合性",'問題マスタ'!$C$2:$C$241,"初級")</x:f>
        <x:v>4</x:v>
      </x:c>
      <x:c r="D10" s="35" t="n">
        <x:f>COUNTIFS('問題マスタ'!$B$2:$B$241,"整合性",'問題マスタ'!$C$2:$C$241,"中級")</x:f>
        <x:v>4</x:v>
      </x:c>
      <x:c r="E10" s="36" t="n">
        <x:f>COUNTIFS('問題マスタ'!$B$2:$B$241,"整合性",'問題マスタ'!$C$2:$C$241,"応用")</x:f>
        <x:v>2</x:v>
      </x:c>
    </x:row>
    <x:row r="11">
      <x:c r="A11" s="9" t="str">
        <x:v>セキュリティ</x:v>
      </x:c>
      <x:c r="B11" s="35" t="n">
        <x:f>COUNTIF('問題マスタ'!$B$2:$B$241,"セキュリティ")</x:f>
        <x:v>20</x:v>
      </x:c>
      <x:c r="C11" s="35" t="n">
        <x:f>COUNTIFS('問題マスタ'!$B$2:$B$241,"セキュリティ",'問題マスタ'!$C$2:$C$241,"初級")</x:f>
        <x:v>8</x:v>
      </x:c>
      <x:c r="D11" s="35" t="n">
        <x:f>COUNTIFS('問題マスタ'!$B$2:$B$241,"セキュリティ",'問題マスタ'!$C$2:$C$241,"中級")</x:f>
        <x:v>8</x:v>
      </x:c>
      <x:c r="E11" s="36" t="n">
        <x:f>COUNTIFS('問題マスタ'!$B$2:$B$241,"セキュリティ",'問題マスタ'!$C$2:$C$241,"応用")</x:f>
        <x:v>4</x:v>
      </x:c>
    </x:row>
    <x:row r="12">
      <x:c r="A12" s="9" t="str">
        <x:v>KDS</x:v>
      </x:c>
      <x:c r="B12" s="35" t="n">
        <x:f>COUNTIF('問題マスタ'!$B$2:$B$241,"KDS")</x:f>
        <x:v>10</x:v>
      </x:c>
      <x:c r="C12" s="35" t="n">
        <x:f>COUNTIFS('問題マスタ'!$B$2:$B$241,"KDS",'問題マスタ'!$C$2:$C$241,"初級")</x:f>
        <x:v>4</x:v>
      </x:c>
      <x:c r="D12" s="35" t="n">
        <x:f>COUNTIFS('問題マスタ'!$B$2:$B$241,"KDS",'問題マスタ'!$C$2:$C$241,"中級")</x:f>
        <x:v>4</x:v>
      </x:c>
      <x:c r="E12" s="36" t="n">
        <x:f>COUNTIFS('問題マスタ'!$B$2:$B$241,"KDS",'問題マスタ'!$C$2:$C$241,"応用")</x:f>
        <x:v>2</x:v>
      </x:c>
    </x:row>
    <x:row r="13">
      <x:c r="A13" s="9" t="str">
        <x:v>データ品質</x:v>
      </x:c>
      <x:c r="B13" s="35" t="n">
        <x:f>COUNTIF('問題マスタ'!$B$2:$B$241,"データ品質")</x:f>
        <x:v>10</x:v>
      </x:c>
      <x:c r="C13" s="35" t="n">
        <x:f>COUNTIFS('問題マスタ'!$B$2:$B$241,"データ品質",'問題マスタ'!$C$2:$C$241,"初級")</x:f>
        <x:v>4</x:v>
      </x:c>
      <x:c r="D13" s="35" t="n">
        <x:f>COUNTIFS('問題マスタ'!$B$2:$B$241,"データ品質",'問題マスタ'!$C$2:$C$241,"中級")</x:f>
        <x:v>4</x:v>
      </x:c>
      <x:c r="E13" s="36" t="n">
        <x:f>COUNTIFS('問題マスタ'!$B$2:$B$241,"データ品質",'問題マスタ'!$C$2:$C$241,"応用")</x:f>
        <x:v>2</x:v>
      </x:c>
    </x:row>
    <x:row r="14">
      <x:c r="A14" s="9" t="str">
        <x:v>Spreadsheet連携</x:v>
      </x:c>
      <x:c r="B14" s="35" t="n">
        <x:f>COUNTIF('問題マスタ'!$B$2:$B$241,"Spreadsheet連携")</x:f>
        <x:v>20</x:v>
      </x:c>
      <x:c r="C14" s="35" t="n">
        <x:f>COUNTIFS('問題マスタ'!$B$2:$B$241,"Spreadsheet連携",'問題マスタ'!$C$2:$C$241,"初級")</x:f>
        <x:v>8</x:v>
      </x:c>
      <x:c r="D14" s="35" t="n">
        <x:f>COUNTIFS('問題マスタ'!$B$2:$B$241,"Spreadsheet連携",'問題マスタ'!$C$2:$C$241,"中級")</x:f>
        <x:v>8</x:v>
      </x:c>
      <x:c r="E14" s="36" t="n">
        <x:f>COUNTIFS('問題マスタ'!$B$2:$B$241,"Spreadsheet連携",'問題マスタ'!$C$2:$C$241,"応用")</x:f>
        <x:v>4</x:v>
      </x:c>
    </x:row>
    <x:row r="15">
      <x:c r="A15" s="9" t="str">
        <x:v>UX</x:v>
      </x:c>
      <x:c r="B15" s="35" t="n">
        <x:f>COUNTIF('問題マスタ'!$B$2:$B$241,"UX")</x:f>
        <x:v>20</x:v>
      </x:c>
      <x:c r="C15" s="35" t="n">
        <x:f>COUNTIFS('問題マスタ'!$B$2:$B$241,"UX",'問題マスタ'!$C$2:$C$241,"初級")</x:f>
        <x:v>8</x:v>
      </x:c>
      <x:c r="D15" s="35" t="n">
        <x:f>COUNTIFS('問題マスタ'!$B$2:$B$241,"UX",'問題マスタ'!$C$2:$C$241,"中級")</x:f>
        <x:v>8</x:v>
      </x:c>
      <x:c r="E15" s="36" t="n">
        <x:f>COUNTIFS('問題マスタ'!$B$2:$B$241,"UX",'問題マスタ'!$C$2:$C$241,"応用")</x:f>
        <x:v>4</x:v>
      </x:c>
    </x:row>
    <x:row r="16">
      <x:c r="A16" s="9" t="str">
        <x:v>運用</x:v>
      </x:c>
      <x:c r="B16" s="35" t="n">
        <x:f>COUNTIF('問題マスタ'!$B$2:$B$241,"運用")</x:f>
        <x:v>20</x:v>
      </x:c>
      <x:c r="C16" s="35" t="n">
        <x:f>COUNTIFS('問題マスタ'!$B$2:$B$241,"運用",'問題マスタ'!$C$2:$C$241,"初級")</x:f>
        <x:v>8</x:v>
      </x:c>
      <x:c r="D16" s="35" t="n">
        <x:f>COUNTIFS('問題マスタ'!$B$2:$B$241,"運用",'問題マスタ'!$C$2:$C$241,"中級")</x:f>
        <x:v>8</x:v>
      </x:c>
      <x:c r="E16" s="36" t="n">
        <x:f>COUNTIFS('問題マスタ'!$B$2:$B$241,"運用",'問題マスタ'!$C$2:$C$241,"応用")</x:f>
        <x:v>4</x:v>
      </x:c>
    </x:row>
    <x:row r="17">
      <x:c r="A17" s="12" t="str">
        <x:v>実装判断</x:v>
      </x:c>
      <x:c r="B17" s="37" t="n">
        <x:f>COUNTIF('問題マスタ'!$B$2:$B$241,"実装判断")</x:f>
        <x:v>20</x:v>
      </x:c>
      <x:c r="C17" s="37" t="n">
        <x:f>COUNTIFS('問題マスタ'!$B$2:$B$241,"実装判断",'問題マスタ'!$C$2:$C$241,"初級")</x:f>
        <x:v>8</x:v>
      </x:c>
      <x:c r="D17" s="37" t="n">
        <x:f>COUNTIFS('問題マスタ'!$B$2:$B$241,"実装判断",'問題マスタ'!$C$2:$C$241,"中級")</x:f>
        <x:v>8</x:v>
      </x:c>
      <x:c r="E17" s="38" t="n">
        <x:f>COUNTIFS('問題マスタ'!$B$2:$B$241,"実装判断",'問題マスタ'!$C$2:$C$241,"応用")</x:f>
        <x:v>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6" hidden="0" customWidth="1"/>
    <x:col min="3" max="3" width="28" hidden="0" customWidth="1"/>
    <x:col min="4" max="4" width="28" hidden="0" customWidth="1"/>
  </x:cols>
  <x:sheetData>
    <x:row r="1">
      <x:c r="A1" s="45" t="str">
        <x:v>Firestore理解度チェック 問題マスタ</x:v>
      </x:c>
      <x:c r="B1" s="46"/>
      <x:c r="C1" s="46"/>
      <x:c r="D1" s="47"/>
    </x:row>
    <x:row r="2">
      <x:c r="A2" s="9"/>
      <x:c r="B2" s="10"/>
      <x:c r="C2" s="10"/>
      <x:c r="D2" s="11"/>
    </x:row>
    <x:row r="3">
      <x:c r="A3" s="48" t="str">
        <x:v>使い方</x:v>
      </x:c>
      <x:c r="B3" s="22" t="str">
        <x:v>1. 問題マスタシートの1行目を含めてGoogle Spreadsheetへコピーします。</x:v>
      </x:c>
      <x:c r="C3" s="22" t="str"/>
      <x:c r="D3" s="23" t="str"/>
    </x:row>
    <x:row r="4">
      <x:c r="A4" s="48" t="str"/>
      <x:c r="B4" s="22" t="str">
        <x:v>2. 正解番号は1から4です。選択肢の位置は均等に散らしています。</x:v>
      </x:c>
      <x:c r="C4" s="22" t="str"/>
      <x:c r="D4" s="23" t="str"/>
    </x:row>
    <x:row r="5">
      <x:c r="A5" s="48" t="str"/>
      <x:c r="B5" s="22" t="str">
        <x:v>3. 問題を追加する場合は、問題IDが重複しないようにしてください。</x:v>
      </x:c>
      <x:c r="C5" s="22" t="str"/>
      <x:c r="D5" s="23" t="str"/>
    </x:row>
    <x:row r="6">
      <x:c r="A6" s="48" t="str"/>
      <x:c r="B6" s="22" t="str">
        <x:v>4. アプリ側へ読み込ませる場合は、カテゴリ・難易度・問題文・選択肢・正解番号・解説を使います。</x:v>
      </x:c>
      <x:c r="C6" s="22" t="str"/>
      <x:c r="D6" s="23" t="str"/>
    </x:row>
    <x:row r="7">
      <x:c r="A7" s="48" t="str">
        <x:v>列の意味</x:v>
      </x:c>
      <x:c r="B7" s="22" t="str">
        <x:v>問題ID: 一意のID / カテゴリ: 出題ジャンル / おすすめモード: 日替わり・弱点復習などの出題先</x:v>
      </x:c>
      <x:c r="C7" s="22" t="str"/>
      <x:c r="D7" s="23" t="str"/>
    </x:row>
    <x:row r="8">
      <x:c r="A8" s="48" t="str">
        <x:v>注意</x:v>
      </x:c>
      <x:c r="B8" s="22" t="str">
        <x:v>コード例の列は空でも動きます。Firestoreの学習用に表示したい例がある場合だけ使います。</x:v>
      </x:c>
      <x:c r="C8" s="22" t="str"/>
      <x:c r="D8" s="23" t="str"/>
    </x:row>
    <x:row r="9">
      <x:c r="A9" s="48" t="str">
        <x:v>問題数</x:v>
      </x:c>
      <x:c r="B9" s="22" t="n">
        <x:v>240</x:v>
      </x:c>
      <x:c r="C9" s="22" t="str"/>
      <x:c r="D9" s="23" t="str"/>
    </x:row>
    <x:row r="10">
      <x:c r="A10" s="49" t="str">
        <x:v>作成日</x:v>
      </x:c>
      <x:c r="B10" s="25" t="n">
        <x:v>46220</x:v>
      </x:c>
      <x:c r="C10" s="25" t="str"/>
      <x:c r="D10" s="26" t="str"/>
    </x:row>
  </x:sheetData>
  <x:mergeCells>
    <x:mergeCell ref="A1:D1"/>
  </x:mergeCells>
  <x:pageMargins left="0.7" right="0.7" top="0.75" bottom="0.75" header="0.3" footer="0.3"/>
</x:worksheet>
</file>